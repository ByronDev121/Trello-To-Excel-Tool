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Projects\Trello-To-Excel-Tool\"/>
    </mc:Choice>
  </mc:AlternateContent>
  <xr:revisionPtr revIDLastSave="0" documentId="13_ncr:1_{3B7BD33A-A7D1-40E4-9D02-3B0638AD2DD8}" xr6:coauthVersionLast="45" xr6:coauthVersionMax="45" xr10:uidLastSave="{00000000-0000-0000-0000-000000000000}"/>
  <bookViews>
    <workbookView xWindow="-120" yWindow="-120" windowWidth="29040" windowHeight="15840" activeTab="1" xr2:uid="{00000000-000D-0000-FFFF-FFFF00000000}"/>
  </bookViews>
  <sheets>
    <sheet name="Trello_Data" sheetId="3" r:id="rId1"/>
    <sheet name="Analiytics" sheetId="4" r:id="rId2"/>
  </sheets>
  <definedNames>
    <definedName name="ExternalData_1" localSheetId="0" hidden="1">Trello_Data!$A$1:$F$236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4" l="1"/>
  <c r="G7" i="4"/>
  <c r="F7" i="4"/>
  <c r="E7" i="4"/>
  <c r="D7" i="4"/>
  <c r="C7" i="4"/>
  <c r="B7" i="4"/>
  <c r="H6" i="4"/>
  <c r="G6" i="4"/>
  <c r="F6" i="4"/>
  <c r="E6" i="4"/>
  <c r="D6" i="4"/>
  <c r="C6" i="4"/>
  <c r="B6" i="4"/>
  <c r="H5" i="4"/>
  <c r="G5" i="4"/>
  <c r="F5" i="4"/>
  <c r="E5" i="4"/>
  <c r="D5" i="4"/>
  <c r="C5" i="4"/>
  <c r="B5" i="4"/>
  <c r="H4" i="4"/>
  <c r="G4" i="4"/>
  <c r="F4" i="4"/>
  <c r="E4" i="4"/>
  <c r="D4" i="4"/>
  <c r="C4" i="4"/>
  <c r="B4" i="4"/>
  <c r="H3" i="4"/>
  <c r="G3" i="4"/>
  <c r="F3" i="4"/>
  <c r="E3" i="4"/>
  <c r="D3" i="4"/>
  <c r="C3" i="4"/>
  <c r="B3" i="4"/>
  <c r="H2" i="4"/>
  <c r="G2" i="4"/>
  <c r="F2" i="4"/>
  <c r="E2" i="4"/>
  <c r="D2" i="4"/>
  <c r="C2"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F03465-38F9-4E59-9AC7-A95B5125A647}" keepAlive="1" name="Query - data_file" description="Connection to the 'data_file' query in the workbook." type="5" refreshedVersion="6" background="1" saveData="1">
    <dbPr connection="Provider=Microsoft.Mashup.OleDb.1;Data Source=$Workbook$;Location=data_file;Extended Properties=&quot;&quot;" command="SELECT * FROM [data_file]"/>
  </connection>
</connections>
</file>

<file path=xl/sharedStrings.xml><?xml version="1.0" encoding="utf-8"?>
<sst xmlns="http://schemas.openxmlformats.org/spreadsheetml/2006/main" count="1429" uniqueCount="803">
  <si>
    <t>Backlog</t>
  </si>
  <si>
    <t>To Do</t>
  </si>
  <si>
    <t>Doing</t>
  </si>
  <si>
    <t>Review</t>
  </si>
  <si>
    <t>Done</t>
  </si>
  <si>
    <t>Ticket Count</t>
  </si>
  <si>
    <t>Total:</t>
  </si>
  <si>
    <t>Riaz:</t>
  </si>
  <si>
    <t>Brett:</t>
  </si>
  <si>
    <t>Byron:</t>
  </si>
  <si>
    <t>Nonnie</t>
  </si>
  <si>
    <t>Viswa</t>
  </si>
  <si>
    <t>Complete</t>
  </si>
  <si>
    <t>Column1</t>
  </si>
  <si>
    <t>Column2</t>
  </si>
  <si>
    <t>Column3</t>
  </si>
  <si>
    <t>Column4</t>
  </si>
  <si>
    <t>Column5</t>
  </si>
  <si>
    <t>Column6</t>
  </si>
  <si>
    <t>id</t>
  </si>
  <si>
    <t>list</t>
  </si>
  <si>
    <t>name</t>
  </si>
  <si>
    <t>desc</t>
  </si>
  <si>
    <t>members</t>
  </si>
  <si>
    <t>url</t>
  </si>
  <si>
    <t>5e37f6646dd29a1e0fa36512</t>
  </si>
  <si>
    <t>A list of the things we think we want to do, maybe not quite ready for work, but high likelihood of being worked on.
This is the staging area where specs should get fleshed out.
No limit on the list size, but we should reconsider if it gets long.</t>
  </si>
  <si>
    <t>['Byron de Villiers']</t>
  </si>
  <si>
    <t>https://trello.com/c/IO8FUld6/1-backlog</t>
  </si>
  <si>
    <t>5e37f760a7d76838269cb455</t>
  </si>
  <si>
    <t>Remove first part of base 64 string</t>
  </si>
  <si>
    <t/>
  </si>
  <si>
    <t>[]</t>
  </si>
  <si>
    <t>https://trello.com/c/MyvnuP6Z/17-remove-first-part-of-base-64-string</t>
  </si>
  <si>
    <t>5e37f7d2ab59364bf18c9386</t>
  </si>
  <si>
    <t>Look at if (_this.network.type === _this.network.Connection.NONE) [MIGHT BE WIFI/DEVICE SPECIFIC]</t>
  </si>
  <si>
    <t>https://trello.com/c/XosGLGgW/19-look-at-if-thisnetworktype-thisnetworkconnectionnone-might-be-wifi-device-specific</t>
  </si>
  <si>
    <t>5e380f3bd3e2440830151b73</t>
  </si>
  <si>
    <t>Check evidence list that comes back on compliance follow up</t>
  </si>
  <si>
    <t>https://trello.com/c/BqZWdeCE/31-check-evidence-list-that-comes-back-on-compliance-follow-up</t>
  </si>
  <si>
    <t>5e4e41c6d60ffb8b74b4c405</t>
  </si>
  <si>
    <t>Watermarked image does not display in backend case</t>
  </si>
  <si>
    <t>https://trello.com/c/Elkyom1T/122-watermarked-image-does-not-display-in-backend-case</t>
  </si>
  <si>
    <t>5e381477d939257cc9edfd9f</t>
  </si>
  <si>
    <t>Notice Cancellation - Free text fields  should accompany each reason for additional info. Allows cancellation without selecting a reason</t>
  </si>
  <si>
    <t>https://trello.com/c/M2fFKOt0/56-notice-cancellation-free-text-fields-should-accompany-each-reason-for-additional-info-allows-cancellation-without-selecting-a-re</t>
  </si>
  <si>
    <t>5e37f75349bb421e267741b4</t>
  </si>
  <si>
    <t>Compile list scan data from different documents</t>
  </si>
  <si>
    <t>add refugee/asylum seeker document scanning</t>
  </si>
  <si>
    <t>https://trello.com/c/Y3PwomqW/16-compile-list-scan-data-from-different-documents</t>
  </si>
  <si>
    <t>5e380fd0c8308f4e18c2f353</t>
  </si>
  <si>
    <t>Look at the review notice on compliance follow up and history</t>
  </si>
  <si>
    <t>https://trello.com/c/PwMwWdar/34-look-at-the-review-notice-on-compliance-follow-up-and-history</t>
  </si>
  <si>
    <t>5e3814e59e89f10aa19399db</t>
  </si>
  <si>
    <t>Add versioning with a way of utilizing the version</t>
  </si>
  <si>
    <t>https://trello.com/c/Ul17Po8b/59-add-versioning-with-a-way-of-utilizing-the-version</t>
  </si>
  <si>
    <t>5e3d29aaf378e36607ebaee6</t>
  </si>
  <si>
    <t>Unhandled Promise rejection: removeView was not found ; Zone: &lt;root&gt; ; Task: Promise.then ; Value: removeView was not found</t>
  </si>
  <si>
    <t>Happens after print from history and also in normal notice after leaving person tab</t>
  </si>
  <si>
    <t>https://trello.com/c/Ow0suTuD/78-unhandled-promise-rejection-removeview-was-not-found-zone-root-task-promisethen-value-removeview-was-not-found</t>
  </si>
  <si>
    <t>5e4a58af1d2d7957a333654e</t>
  </si>
  <si>
    <t>Master Loader - Big refactor</t>
  </si>
  <si>
    <t>['Byron de Villiers', 'Brett de Villiers']</t>
  </si>
  <si>
    <t>https://trello.com/c/XqYZ03pM/100-master-loader-big-refactor</t>
  </si>
  <si>
    <t>5e451a2d9e29731078b5f635</t>
  </si>
  <si>
    <t>Separate History view from CMP page</t>
  </si>
  <si>
    <t>https://trello.com/c/AAmF2sfG/97-separate-history-view-from-cmp-page</t>
  </si>
  <si>
    <t>5e37f814b245cd1a7c4d0224</t>
  </si>
  <si>
    <t>Look at scanning in detail</t>
  </si>
  <si>
    <t>https://trello.com/c/bDLKlgim/22-look-at-scanning-in-detail</t>
  </si>
  <si>
    <t>5e3ab4f96ca0777f973b1031</t>
  </si>
  <si>
    <t>Date picker to ui element</t>
  </si>
  <si>
    <t xml:space="preserve">Move away from the default ionic date picker and use the nice ui picker
</t>
  </si>
  <si>
    <t>https://trello.com/c/ax4xN3nD/64-date-picker-to-ui-element</t>
  </si>
  <si>
    <t>5e380f741bfbba1a468280d3</t>
  </si>
  <si>
    <t>Pressing go on keyboard in the add item modal page should close the keyboard</t>
  </si>
  <si>
    <t>https://trello.com/c/JsWvOSGl/32-pressing-go-on-keyboard-in-the-add-item-modal-page-should-close-the-keyboard</t>
  </si>
  <si>
    <t>5e4a58baaa36520c49e4c176</t>
  </si>
  <si>
    <t>Login - Big refactor</t>
  </si>
  <si>
    <t>https://trello.com/c/XoUY2k3Q/101-login-big-refactor</t>
  </si>
  <si>
    <t>5e43c3274fcb2f832ea2928e</t>
  </si>
  <si>
    <t>Embed Date, time,  GPS location onto   photo evidence.</t>
  </si>
  <si>
    <t>Can the same be applied to video?</t>
  </si>
  <si>
    <t>https://trello.com/c/3TymwMgZ/90-embed-date-time-gps-location-onto-photo-evidence</t>
  </si>
  <si>
    <t>5e3c27eb4d1dbc0ac2a153e9</t>
  </si>
  <si>
    <t>Add licenses/reference documents to CMP/History - contained in notice object from backend</t>
  </si>
  <si>
    <t>https://trello.com/c/GKHoy7Bc/72-add-licenses-reference-documents-to-cmp-history-contained-in-notice-object-from-backend</t>
  </si>
  <si>
    <t>5e6a168b8b647f41caa72f35</t>
  </si>
  <si>
    <t>Styling updates - ensure consistent styling in application</t>
  </si>
  <si>
    <t>https://trello.com/c/s07YVuSA/192-styling-updates-ensure-consistent-styling-in-application</t>
  </si>
  <si>
    <t>5e6b8fda978a511bfc654bb9</t>
  </si>
  <si>
    <t>Sort search list by word order</t>
  </si>
  <si>
    <t>Words which match the search text should be filtered in the list based on where the word is in the sentence</t>
  </si>
  <si>
    <t>https://trello.com/c/bXg5pDxa/198-sort-search-list-by-word-order</t>
  </si>
  <si>
    <t>5e37f6646dd29a1e0fa36514</t>
  </si>
  <si>
    <t>Design &amp; Research</t>
  </si>
  <si>
    <t>https://trello.com/c/Q7SHIDaz/2-design-research</t>
  </si>
  <si>
    <t>5e37f6646dd29a1e0fa3652a</t>
  </si>
  <si>
    <t>[Example task with designs]</t>
  </si>
  <si>
    <t>Attach designs conveniently using Power-ups for design tools like Figma or Invision</t>
  </si>
  <si>
    <t>https://trello.com/c/I8cWIqCu/13-example-task-with-designs</t>
  </si>
  <si>
    <t>5e37f6646dd29a1e0fa36516</t>
  </si>
  <si>
    <t>This is a list of things that are good to pull off to work on, prioritized.
If there are too few items here, we should swarm against getting tasks ready for work.</t>
  </si>
  <si>
    <t>https://trello.com/c/JqqgFaJO/3-to-do</t>
  </si>
  <si>
    <t>5e4288108be29c3c44091381</t>
  </si>
  <si>
    <t>Add date and time to image captured in evidence.</t>
  </si>
  <si>
    <t>https://trello.com/c/Bis797xe/88-add-date-and-time-to-image-captured-in-evidence</t>
  </si>
  <si>
    <t>5e43e9ec4ed1be0260b46cd9</t>
  </si>
  <si>
    <t>Court date seems editable on front-end but</t>
  </si>
  <si>
    <t>Court date does not change when issued - is it sent to the backend?</t>
  </si>
  <si>
    <t>https://trello.com/c/xmLZgVQv/91-court-date-seems-editable-on-front-end-but</t>
  </si>
  <si>
    <t>5e4e2659558b8132c0125435</t>
  </si>
  <si>
    <t>Adding date watermark takes too long</t>
  </si>
  <si>
    <t>https://trello.com/c/QEOvI4Lu/121-adding-date-watermark-takes-too-long</t>
  </si>
  <si>
    <t>5e68b97f12f92c7189078df4</t>
  </si>
  <si>
    <t>Enhance charge search capability (to be able to bring up part of keyword)</t>
  </si>
  <si>
    <t>https://trello.com/c/DQ34vWCW/183-enhance-charge-search-capability-to-be-able-to-bring-up-part-of-keyword</t>
  </si>
  <si>
    <t>5e37f8875243aa6c530be4fb</t>
  </si>
  <si>
    <t>Law enforcement/traffic print heading vs notice number incorrect mapping</t>
  </si>
  <si>
    <t>https://trello.com/c/QCNHQEev/24-law-enforcement-traffic-print-heading-vs-notice-number-incorrect-mapping</t>
  </si>
  <si>
    <t>5e3811eea8c4264fe0f8fbcc</t>
  </si>
  <si>
    <t>Maximum call stack exceeded during master loader</t>
  </si>
  <si>
    <t>https://trello.com/c/4DBwbbsc/42-maximum-call-stack-exceeded-during-master-loader</t>
  </si>
  <si>
    <t>5e4fd307fd8a387042348321</t>
  </si>
  <si>
    <t>Add alert for charge code - filter mismatch</t>
  </si>
  <si>
    <t xml:space="preserve">Can we add an alert to address users who will quickly assume that the charge they are looking for is not in the catalog, just to prompt them to check the filter set. 
Alert text: “Charge code provided does not match the selected filter”
</t>
  </si>
  <si>
    <t>['Brett de Villiers']</t>
  </si>
  <si>
    <t>https://trello.com/c/6SC2snum/131-add-alert-for-charge-code-filter-mismatch</t>
  </si>
  <si>
    <t>5e554b34257f645e01fd7ac7</t>
  </si>
  <si>
    <t>change print button on notices in history to "Re-print [notice type]"</t>
  </si>
  <si>
    <t>https://trello.com/c/1K63naIW/153-change-print-button-on-notices-in-history-to-re-print-notice-type</t>
  </si>
  <si>
    <t>5e68b8c5743e7c2fb06435c2</t>
  </si>
  <si>
    <t>Is there a plan for a hard cable connection for the device scenarios where users cannot get to the device on offline scenarios or device damage etc, to manually get to the notice information that is on the device?</t>
  </si>
  <si>
    <t>Will the “manual” downloading of the data from the device to be automatically transferred to ECC…this process to be defined (ERP &amp; Peter Guy)</t>
  </si>
  <si>
    <t>['Riaz Patel']</t>
  </si>
  <si>
    <t>https://trello.com/c/tL9D4cN5/182-is-there-a-plan-for-a-hard-cable-connection-for-the-device-scenarios-where-users-cannot-get-to-the-device-on-offline-scenarios-o</t>
  </si>
  <si>
    <t>5e68ba124e14b62e6b61027d</t>
  </si>
  <si>
    <t>Text formatting to be enhanced on print- justify maybe</t>
  </si>
  <si>
    <t>https://trello.com/c/7l7KacOm/185-text-formatting-to-be-enhanced-on-print-justify-maybe</t>
  </si>
  <si>
    <t>5e6a13faf0ce4270e3e9de8b</t>
  </si>
  <si>
    <t>Print: PrDP blank on slips instead of N/A (s56), signature overlap onto heading in all notice type prints</t>
  </si>
  <si>
    <t>https://trello.com/c/fAApXEA9/190-print-prdp-blank-on-slips-instead-of-n-a-s56-signature-overlap-onto-heading-in-all-notice-type-prints</t>
  </si>
  <si>
    <t>5e70e08127f9b2147a24d380</t>
  </si>
  <si>
    <t>We need to enable users to re-scan documents after an unsuccessful attempt (wrong type of doc scanned).</t>
  </si>
  <si>
    <t>Currently a user has to scroll to the bottom of e.g. person screen to discard the "scanned data" before the "Sacn ID" is available again</t>
  </si>
  <si>
    <t>https://trello.com/c/jQMvcs9b/202-we-need-to-enable-users-to-re-scan-documents-after-an-unsuccessful-attempt-wrong-type-of-doc-scanned</t>
  </si>
  <si>
    <t>5e736a090fd506097b4599d3</t>
  </si>
  <si>
    <t>Create Afaria tenant for Huawei devices</t>
  </si>
  <si>
    <t>https://trello.com/c/t9s0QzF8/208-create-afaria-tenant-for-huawei-devices</t>
  </si>
  <si>
    <t>5e749d9d13ece48e56254618</t>
  </si>
  <si>
    <t>cancel note reason is not capturing in the backend.</t>
  </si>
  <si>
    <t>https://trello.com/c/pN6Vcf6z/217-cancel-note-reason-is-not-capturing-in-the-backend</t>
  </si>
  <si>
    <t>5e74bdae9a5b851e2a5919a6</t>
  </si>
  <si>
    <t>video not sent through to ECC for compliance notice but not displaying on ZCS_NOTICE_DOCS</t>
  </si>
  <si>
    <t xml:space="preserve">Ref C1/03439/812/007811. Case status notice loaded
No entry in CKS folder but video still on device. </t>
  </si>
  <si>
    <t>https://trello.com/c/DDSAe5Wr/220-video-not-sent-through-to-ecc-for-compliance-notice-but-not-displaying-on-zcsnoticedocs</t>
  </si>
  <si>
    <t>5e784114a718fd638f2a5720</t>
  </si>
  <si>
    <t>Enhance Charge search - Exact key word match search results should be displayed at the top of the list. Sorting of search results in this manner is required.</t>
  </si>
  <si>
    <t>https://trello.com/c/RiY7lDoc/221-enhance-charge-search-exact-key-word-match-search-results-should-be-displayed-at-the-top-of-the-list-sorting-of-search-results-i</t>
  </si>
  <si>
    <t>5e784e12d2224f34d3f6f716</t>
  </si>
  <si>
    <t>When issue the CMP Notice from the Charge Catalogue :Court Details holds the “ COURT DATE , COURT ROOM &amp; TIME “.</t>
  </si>
  <si>
    <t>https://trello.com/c/jXzTFY0N/222-when-issue-the-cmp-notice-from-the-charge-catalogue-court-details-holds-the-court-date-court-room-time</t>
  </si>
  <si>
    <t>5e784e3c9c086788da55a619</t>
  </si>
  <si>
    <t>List the Countries in the Alphabetical Order.</t>
  </si>
  <si>
    <t>https://trello.com/c/dRHOVOgC/223-list-the-countries-in-the-alphabetical-order</t>
  </si>
  <si>
    <t>5e784e7edf28e57801f66677</t>
  </si>
  <si>
    <t>When issue the CMP Notice from the charge catalogue – Follow Up Date and Follow Up Time is missing in the Issue Tab.</t>
  </si>
  <si>
    <t>https://trello.com/c/r7xYe2j4/224-when-issue-the-cmp-notice-from-the-charge-catalogue-follow-up-date-and-follow-up-time-is-missing-in-the-issue-tab</t>
  </si>
  <si>
    <t>5e7481ee4452aa198a133097</t>
  </si>
  <si>
    <t>Notices : Please change the name 56 Final Print as Follow Up Final Print</t>
  </si>
  <si>
    <t>https://trello.com/c/IKHk0fPH/213-notices-please-change-the-name-56-final-print-as-follow-up-final-print</t>
  </si>
  <si>
    <t>5e7324344f32114a3b64a3c4</t>
  </si>
  <si>
    <t>Country does not default to South Africa on business address on print slip for all notice types</t>
  </si>
  <si>
    <t>https://trello.com/c/9LPVERYb/206-country-does-not-default-to-south-africa-on-business-address-on-print-slip-for-all-notice-types</t>
  </si>
  <si>
    <t>5e7b0b487eb94d1b7d402d63</t>
  </si>
  <si>
    <t>Review full sync process (takes very long and eventually results in error - timeout issue) and sync  when loading the app.</t>
  </si>
  <si>
    <t>https://trello.com/c/CRgiOHTh/228-review-full-sync-process-takes-very-long-and-eventually-results-in-error-timeout-issue-and-sync-when-loading-the-app</t>
  </si>
  <si>
    <t>5e7b26615c2424683a666776</t>
  </si>
  <si>
    <t>Need to review media upload, particularly images in compliance. cases are sitting in notice loaded or long periods. Case immediately goes into "in process" when submitted without the media file. Breaking the image into chunks may also be an option?</t>
  </si>
  <si>
    <t>https://trello.com/c/0ikbr6gI/232-need-to-review-media-upload-particularly-images-in-compliance-cases-are-sitting-in-notice-loaded-or-long-periods-case-immediatel</t>
  </si>
  <si>
    <t>5e41410546506e4e8cf847c1</t>
  </si>
  <si>
    <t>Printing history for CMP (and other notice types) and CMP FU</t>
  </si>
  <si>
    <t>get the message "TypeError: Cannot call method 'toString' of undefined upon clicking Print, but printing actually occurs. This happens for all notice types when printing from history.</t>
  </si>
  <si>
    <t>https://trello.com/c/OJkR1rRt/82-printing-history-for-cmp-and-other-notice-types-and-cmp-fu</t>
  </si>
  <si>
    <t>5e53a41f19011e719063fde7</t>
  </si>
  <si>
    <t>Court date does not change on back end if user changes it on front end before posting notice</t>
  </si>
  <si>
    <t>['Brett de Villiers', 'Nonnie']</t>
  </si>
  <si>
    <t>https://trello.com/c/45Xvrkan/134-court-date-does-not-change-on-back-end-if-user-changes-it-on-front-end-before-posting-notice</t>
  </si>
  <si>
    <t>5e7b4667e03bbf415777051d</t>
  </si>
  <si>
    <t>Add validation to prevent the selection of a follow up date less/older than current date when issuing a compliance. No business case for setting follow up dates for yesterday</t>
  </si>
  <si>
    <t>https://trello.com/c/pcDRiYig/233-add-validation-to-prevent-the-selection-of-a-follow-up-date-less-older-than-current-date-when-issuing-a-compliance-no-business-c</t>
  </si>
  <si>
    <t>5e37f6646dd29a1e0fa36518</t>
  </si>
  <si>
    <t>These are the things that folks are working on.
All our engineers should have at least one item in this state.
If there are too few things here, they should be pulled off Todo.
When doing is done, cards move to Code Review.</t>
  </si>
  <si>
    <t>https://trello.com/c/NEQLkemi/4-doing</t>
  </si>
  <si>
    <t>5e7474ebc69e741d42b575b2</t>
  </si>
  <si>
    <t>court drop down list values triplicated</t>
  </si>
  <si>
    <t>https://trello.com/c/dOIVg2Fd/211-court-drop-down-list-values-triplicated</t>
  </si>
  <si>
    <t>5e53a7ced96a258fb913ee76</t>
  </si>
  <si>
    <t>Add camera overlay for scanning</t>
  </si>
  <si>
    <t>https://trello.com/c/WxMyneYR/136-add-camera-overlay-for-scanning</t>
  </si>
  <si>
    <t>5e38135bea1f1a1106ba9e4b</t>
  </si>
  <si>
    <t>Ensure that documents can be sent with CMP follow up</t>
  </si>
  <si>
    <t>https://trello.com/c/mKYlZ5Hk/49-ensure-that-documents-can-be-sent-with-cmp-follow-up</t>
  </si>
  <si>
    <t>5e5524fd9420504b002288b5</t>
  </si>
  <si>
    <t>Application version update</t>
  </si>
  <si>
    <t>Currently the application is built using angular 5 and ionic 3. This framework version is 3 years old and we haven't gone live yet.
Two known issues that this is affecting are:
    - @ionic-native/file - connect be upgraded
    - Date picker requires a newer version of angular 
Attempting to port the application to the latest version of ionic and angular.</t>
  </si>
  <si>
    <t>https://trello.com/c/Tf89bG7o/149-application-version-update</t>
  </si>
  <si>
    <t>5e38370f29da8427f3d5da8c</t>
  </si>
  <si>
    <t>Compliance follow up tasks do not clear from the task list soon enough - charges are all actioned with no new followups (may be used to filter tasks in task list)</t>
  </si>
  <si>
    <t>https://trello.com/c/8eHO2DYL/60-compliance-follow-up-tasks-do-not-clear-from-the-task-list-soon-enough-charges-are-all-actioned-with-no-new-followups-may-be-use</t>
  </si>
  <si>
    <t>5e4aa1f86b15294f78b1c827</t>
  </si>
  <si>
    <t>app.component - Big refactor</t>
  </si>
  <si>
    <t>@brettdevilliers2  I have already done this in the port from to ionic 5. I'll add the  updated code in version 0.0.13 in the ionic 3 version.</t>
  </si>
  <si>
    <t>['Brett de Villiers', 'Byron de Villiers']</t>
  </si>
  <si>
    <t>https://trello.com/c/WOiO3L2I/102-appcomponent-big-refactor</t>
  </si>
  <si>
    <t>5e53a6f4b0446b617c4f2a27</t>
  </si>
  <si>
    <t>sap-request-service big refactor</t>
  </si>
  <si>
    <t>https://trello.com/c/AgnLtLQ2/135-sap-request-service-big-refactor</t>
  </si>
  <si>
    <t>5e74a5a6345a9f2d1b51666d</t>
  </si>
  <si>
    <t>cannot complete a follow up where 54 charge status is selected, spinner goes on forever</t>
  </si>
  <si>
    <t>https://trello.com/c/Y2tdLZQT/219-cannot-complete-a-follow-up-where-54-charge-status-is-selected-spinner-goes-on-forever</t>
  </si>
  <si>
    <t>5e37f942e884a41eeb3b7633</t>
  </si>
  <si>
    <t>Vehicle additional info field must respond like other fields</t>
  </si>
  <si>
    <t>https://trello.com/c/qIXfu65g/29-vehicle-additional-info-field-must-respond-like-other-fields</t>
  </si>
  <si>
    <t>5e70f84a6a6647249ac9916b</t>
  </si>
  <si>
    <t>person tab - scanning issues</t>
  </si>
  <si>
    <t>When scanning the leaner's licence, we don't pre-populate the driver's licence holder's ID no. type = South African ID. I dont see this field though on the case in the backend. SO even if i manually capture it, it doesnt go anywhere and the follow up does not have it. 
Another issue is that the app prompts me to save (or checks if i want to save it) the scanned data twice.</t>
  </si>
  <si>
    <t>https://trello.com/c/gfblXHDe/204-person-tab-scanning-issues</t>
  </si>
  <si>
    <t>5e71f5cfe1356b2bcad46c39</t>
  </si>
  <si>
    <t>Error Logging Service</t>
  </si>
  <si>
    <t>https://trello.com/c/ixbrOF6E/205-error-logging-service</t>
  </si>
  <si>
    <t>5e7a8d736c4f52463c7306f7</t>
  </si>
  <si>
    <t>Create Afaria config for Huawei devices</t>
  </si>
  <si>
    <t>https://trello.com/c/DLZJT6jd/227-create-afaria-config-for-huawei-devices</t>
  </si>
  <si>
    <t>5e7369f05ed819357bf3fc45</t>
  </si>
  <si>
    <t>Generate keystore file for release build signing of APK</t>
  </si>
  <si>
    <t>https://trello.com/c/eDU3Ts3W/207-generate-keystore-file-for-release-build-signing-of-apk</t>
  </si>
  <si>
    <t>5e785e6cf75f3464e8ae050b</t>
  </si>
  <si>
    <t>Can we use the spinner as well on history from side menu. we Currently display that no items were found by default before we actually see whether items are returned from the backend (or so it seems). We should only display the message if there are no results</t>
  </si>
  <si>
    <t>https://trello.com/c/aX8NcGTo/225-can-we-use-the-spinner-as-well-on-history-from-side-menu-we-currently-display-that-no-items-were-found-by-default-before-we-actu</t>
  </si>
  <si>
    <t>5e7b0e6ab0941b2dc7dbd21a</t>
  </si>
  <si>
    <t>Issuing 56 from CMP followup removes charge from the list (in CMP followup) when returning from issuing the 56</t>
  </si>
  <si>
    <t>https://trello.com/c/oimbCeR6/229-issuing-56-from-cmp-followup-removes-charge-from-the-list-in-cmp-followup-when-returning-from-issuing-the-56</t>
  </si>
  <si>
    <t>5e62219d2400917c6c8a5b6b</t>
  </si>
  <si>
    <t>Screen stuck on submitting notice when mobile data switched off</t>
  </si>
  <si>
    <t>https://trello.com/c/qxmigkdQ/170-screen-stuck-on-submitting-notice-when-mobile-data-switched-off</t>
  </si>
  <si>
    <t>5e7b55e0edffb1304a277467</t>
  </si>
  <si>
    <t>56 from draft was placed in offline queue upon submission but unsent items is empty, nothing in drafts, no case created in backend. Notice nr S1/0308*/810/007251 ... sorry can't recall the sequential number there.</t>
  </si>
  <si>
    <t>repeated test, same thing occurred, notice number S1/03081/810/007253</t>
  </si>
  <si>
    <t>https://trello.com/c/PV6Nb3CJ/234-56-from-draft-was-placed-in-offline-queue-upon-submission-but-unsent-items-is-empty-nothing-in-drafts-no-case-created-in-backend</t>
  </si>
  <si>
    <t>5e7b6b40685c532e0e4c501a</t>
  </si>
  <si>
    <t>printing does not work in offline mode. get error:</t>
  </si>
  <si>
    <t>example is from a 56</t>
  </si>
  <si>
    <t>https://trello.com/c/5UtmTNv2/235-printing-does-not-work-in-offline-mode-get-error</t>
  </si>
  <si>
    <t>5e7b11ab4246bc02eae59245</t>
  </si>
  <si>
    <t>Completed</t>
  </si>
  <si>
    <t>This list is for items which developers have completed however are not yet in the current build for testing. 
When the mobile development team has merged and updated the application version, it moves off to Testing.</t>
  </si>
  <si>
    <t>https://trello.com/c/xNzXcwR0/230-complete</t>
  </si>
  <si>
    <t>5e749b3472df76130f9ebaeb</t>
  </si>
  <si>
    <t>Cannot issue a 56 from a compliance (follow up). Spinner just goes on continuously after selecting to issue 56 on a charge.</t>
  </si>
  <si>
    <t>https://trello.com/c/Z90bMuL8/216-cannot-issue-a-56-from-a-compliance-follow-up-spinner-just-goes-on-continuously-after-selecting-to-issue-56-on-a-charge</t>
  </si>
  <si>
    <t>5e43f1bdf2bc380e1e2cdf8e</t>
  </si>
  <si>
    <t>Printing 56 &amp; 341 from cmp prints cmp template instead of 56 template</t>
  </si>
  <si>
    <t xml:space="preserve">Follow up with @riazpatel6 </t>
  </si>
  <si>
    <t>['Riaz Patel', 'Byron de Villiers']</t>
  </si>
  <si>
    <t>https://trello.com/c/bEEcNbk2/93-printing-56-341-from-cmp-prints-cmp-template-instead-of-56-template</t>
  </si>
  <si>
    <t>5e68b9c95ddfd432b0b86c93</t>
  </si>
  <si>
    <t>Print label mismatch (should e.g. read 56 instead of compliance) - in history. Rather keep it generic: "Re-print notice"</t>
  </si>
  <si>
    <t>https://trello.com/c/zWK2tNxq/184-print-label-mismatch-should-eg-read-56-instead-of-compliance-in-history-rather-keep-it-generic-re-print-notice</t>
  </si>
  <si>
    <t>5e37f8f70dce72828974bc05</t>
  </si>
  <si>
    <t>History show charges in standard form</t>
  </si>
  <si>
    <t xml:space="preserve">Charges should display similar to how they do in issue notice - indicate which charge is primary and which is alternative </t>
  </si>
  <si>
    <t>https://trello.com/c/ee0zKj1V/27-history-show-charges-in-standard-form</t>
  </si>
  <si>
    <t>5e748e51f44ed7131990eb3c</t>
  </si>
  <si>
    <t>Compliance print issues</t>
  </si>
  <si>
    <t xml:space="preserve">Displaying variable %CHARGE_NOTE% for corrective action field. Captured values not pulled through. Should display N/A where nothing was captured on the app.
Other issue is a compliance created from taking over data (e.g. location and person) from a previously issued compliance results in print with &lt;b&gt; tags on notice slip heading and the contact details heading. </t>
  </si>
  <si>
    <t>https://trello.com/c/x6sjHnzV/215-compliance-print-issues</t>
  </si>
  <si>
    <t>5e74a54a41a38d8fb79c8cf5</t>
  </si>
  <si>
    <t>compliance follow up print: Notice number missing, corrective action, charge status and NoAG values not displaying.</t>
  </si>
  <si>
    <t>https://trello.com/c/hxtEHJGq/218-compliance-follow-up-print-notice-number-missing-corrective-action-charge-status-and-noag-values-not-displaying</t>
  </si>
  <si>
    <t>5e745f512ad5ea187e593d2f</t>
  </si>
  <si>
    <t>Evidence audio file entry missing in Review</t>
  </si>
  <si>
    <t>https://trello.com/c/2RqvLDVW/210-evidence-audio-file-entry-missing-in-review</t>
  </si>
  <si>
    <t>5e7481fd2236aa806fba4861</t>
  </si>
  <si>
    <t>Offender Unable to Sign reason is not capturing in the back end.</t>
  </si>
  <si>
    <t>https://trello.com/c/kwqUdUv3/214-offender-unable-to-sign-reason-is-not-capturing-in-the-back-end</t>
  </si>
  <si>
    <t>5e78a3a03bfdf97bbd6d1c55</t>
  </si>
  <si>
    <t>Master loader full sync updated method</t>
  </si>
  <si>
    <t>Break up full sync master data loader into sub-components in an attempt to improve the reliability of the method for poor network connections (have as alternative method)</t>
  </si>
  <si>
    <t>https://trello.com/c/htkwhZpN/226-master-loader-full-sync-updated-method</t>
  </si>
  <si>
    <t>5e7481cb817bb7197bf46849</t>
  </si>
  <si>
    <t>Officer signature is captured twice [ Offender Signature is missing]</t>
  </si>
  <si>
    <t>https://trello.com/c/qaxK68xX/212-officer-signature-is-captured-twice-offender-signature-is-missing</t>
  </si>
  <si>
    <t>5e737c6fb9e7ef7cb4c61db0</t>
  </si>
  <si>
    <t>offender signature does not pull through to the backend case in 341 scenario</t>
  </si>
  <si>
    <t>https://trello.com/c/BfpWTtoz/209-offender-signature-does-not-pull-through-to-the-backend-case-in-341-scenario</t>
  </si>
  <si>
    <t>5e7b13fe78b50427225279c5</t>
  </si>
  <si>
    <t>Issue notice provider architecture redesign and implementation</t>
  </si>
  <si>
    <t>Break up issue notice provider to handle data components, offline, notice and compliance followup parts independently</t>
  </si>
  <si>
    <t>https://trello.com/c/vlAiMfH7/231-issue-notice-provider-architecture-redesign-and-implementation</t>
  </si>
  <si>
    <t>5e37f6646dd29a1e0fa3651c</t>
  </si>
  <si>
    <t>Code Review</t>
  </si>
  <si>
    <t>This list is for items in code review. 
When a task has gotten approval, it moves off to Testing.
If there are too many cards here, we should break off from other tasks to get code review done.</t>
  </si>
  <si>
    <t>https://trello.com/c/TbxUCm32/6-code-review</t>
  </si>
  <si>
    <t>5e4d2fca7a5893260377d097</t>
  </si>
  <si>
    <t>Signature screen on tablet is tiny</t>
  </si>
  <si>
    <t>https://trello.com/c/ryvnhiOV/117-signature-screen-on-tablet-is-tiny</t>
  </si>
  <si>
    <t>5e442c6685677980d8dff979</t>
  </si>
  <si>
    <t>Create print service for all printing pages to call.</t>
  </si>
  <si>
    <t>This will be a lot more maintainable as only the print service will need to be maintained and not each function in every page that requires printing. Furthermore this will greatly reduce the amount of code in the app.</t>
  </si>
  <si>
    <t>https://trello.com/c/8wD2TgVE/96-create-print-service-for-all-printing-pages-to-call</t>
  </si>
  <si>
    <t>5e37f964905af8767ac7fa22</t>
  </si>
  <si>
    <t>Avatars on daily tasks, history and unset to only be CMP, 341 and 56</t>
  </si>
  <si>
    <t>https://trello.com/c/6o7FXgsh/30-avatars-on-daily-tasks-history-and-unset-to-only-be-cmp-341-and-56</t>
  </si>
  <si>
    <t>5e6f05208fe9556429de143a</t>
  </si>
  <si>
    <t>What is happening with the NOTICE_NUMBERS table? Appears to not be cleaned up. Currently have 620 entries in mine</t>
  </si>
  <si>
    <t>https://trello.com/c/ifBacvgC/199-what-is-happening-with-the-noticenumbers-table-appears-to-not-be-cleaned-up-currently-have-620-entries-in-mine</t>
  </si>
  <si>
    <t>5e38118035a99d5f7df300e0</t>
  </si>
  <si>
    <t>Add counter for every time a notice is attempted to be issued. Sort list of notices on offline queue by lower count.</t>
  </si>
  <si>
    <t>https://trello.com/c/nldVa2FE/38-add-counter-for-every-time-a-notice-is-attempted-to-be-issued-sort-list-of-notices-on-offline-queue-by-lower-count</t>
  </si>
  <si>
    <t>5e6a4c6642e9322fed4d865e</t>
  </si>
  <si>
    <t>extra fields on charges do not display on notices in history</t>
  </si>
  <si>
    <t>https://trello.com/c/52gXzUKU/195-extra-fields-on-charges-do-not-display-on-notices-in-history</t>
  </si>
  <si>
    <t>5e6a32e507935d1ece7e35aa</t>
  </si>
  <si>
    <t>Charges under the Meters extra field group are displaying the multiplier field, this should not be the case.</t>
  </si>
  <si>
    <t>Email sent with detail, subject: Extra fields: Meter charges also have multiplier field on mobile</t>
  </si>
  <si>
    <t>https://trello.com/c/yrB8zwE3/194-charges-under-the-meters-extra-field-group-are-displaying-the-multiplier-field-this-should-not-be-the-case</t>
  </si>
  <si>
    <t>5e6b6d31673f76310171b844</t>
  </si>
  <si>
    <t>5e380f954535e7839a51c140</t>
  </si>
  <si>
    <t>Charges with additional fields showing in review</t>
  </si>
  <si>
    <t>https://trello.com/c/CCxF4DGG/33-charges-with-additional-fields-showing-in-review</t>
  </si>
  <si>
    <t>5e6b243cfc26740b17a713a1</t>
  </si>
  <si>
    <t>Send intent from EPIC app to Contra to end itself when EPIC logout is triggered</t>
  </si>
  <si>
    <t>['Riaz Patel', 'Rieyaad Abrahams']</t>
  </si>
  <si>
    <t>https://trello.com/c/pv1u8Z3k/196-send-intent-from-epic-app-to-contra-to-end-itself-when-epic-logout-is-triggered</t>
  </si>
  <si>
    <t>5e68bab0f4c81435ff47c76f</t>
  </si>
  <si>
    <t>Grammar issue on pop up when you want to exit app during issue</t>
  </si>
  <si>
    <t>https://trello.com/c/aK3wXu8L/187-grammar-issue-on-pop-up-when-you-want-to-exit-app-during-issue</t>
  </si>
  <si>
    <t>5e38142952a3d515d672ad8b</t>
  </si>
  <si>
    <t>For person type minor - check that the age and birth date is under 18</t>
  </si>
  <si>
    <t>https://trello.com/c/skuzkYmU/55-for-person-type-minor-check-that-the-age-and-birth-date-is-under-18</t>
  </si>
  <si>
    <t>5e677892d4f929347e86535c</t>
  </si>
  <si>
    <t>Look at court dates selected on location tab</t>
  </si>
  <si>
    <t>https://trello.com/c/9pePq5se/175-look-at-court-dates-selected-on-location-tab</t>
  </si>
  <si>
    <t>5e37f83eb232f2877d3e82ec</t>
  </si>
  <si>
    <t>Look at updating location tab to filter dates from master data provider</t>
  </si>
  <si>
    <t>Order court dates list, do the dates match the courts?</t>
  </si>
  <si>
    <t>['Nonnie', 'visu 1225', 'Byron de Villiers']</t>
  </si>
  <si>
    <t>https://trello.com/c/ozhgZ55J/23-look-at-updating-location-tab-to-filter-dates-from-master-data-provider</t>
  </si>
  <si>
    <t>5e68b891d0e93c8bf0abd677</t>
  </si>
  <si>
    <t>Court Room number in print different from what’s on device</t>
  </si>
  <si>
    <t>https://trello.com/c/V0EcamLc/181-court-room-number-in-print-different-from-whats-on-device</t>
  </si>
  <si>
    <t>5e6257c6bb9c131ee836c1db</t>
  </si>
  <si>
    <t>Not all master data is loaded when app is started in offline mode</t>
  </si>
  <si>
    <t>https://trello.com/c/XHjEWdkx/172-not-all-master-data-is-loaded-when-app-is-started-in-offline-mode</t>
  </si>
  <si>
    <t>5e551fd736ca9649271bcd9c</t>
  </si>
  <si>
    <t>normal S56 print: PrPD_TYPE_TEXT variable displaying instead of N/A, also default South Africa as country on print for Business address.</t>
  </si>
  <si>
    <t>PrDP type issue occurs with scenario where scanning is done for person.</t>
  </si>
  <si>
    <t>https://trello.com/c/JbNDKu9x/147-normal-s56-print-prpdtypetext-variable-displaying-instead-of-n-a-also-default-south-africa-as-country-on-print-for-business-addr</t>
  </si>
  <si>
    <t>5e68ba8d1e534a7fba6aaa63</t>
  </si>
  <si>
    <t>Issue notice from charge catalogue - selected charge not automatically pulled through to charge tab of notice, manual selection and capture still required.</t>
  </si>
  <si>
    <t>https://trello.com/c/WmQNVQWD/186-issue-notice-from-charge-catalogue-selected-charge-not-automatically-pulled-through-to-charge-tab-of-notice-manual-selection-and</t>
  </si>
  <si>
    <t>5e4f530ea1226d6f6bf8e159</t>
  </si>
  <si>
    <t>Multiple prints (looks like when starting from a draft) cause SQL insert error</t>
  </si>
  <si>
    <t>{message: "sqlite3_step failure: UNIQUE constraint failed: NOTICE_DRAFT.NOTICE_NUMBER, NOTICE_DRAFT.VERSION", code: 6}
code
:
6
message
:
"sqlite3_step failure: UNIQUE constraint failed: NOTICE_DRAFT.NOTICE_NUMBER, NOTICE_DRAFT.VERSION"</t>
  </si>
  <si>
    <t>['Riaz Patel', 'Brett de Villiers']</t>
  </si>
  <si>
    <t>https://trello.com/c/Guswr1Ih/128-multiple-prints-looks-like-when-starting-from-a-draft-cause-sql-insert-error</t>
  </si>
  <si>
    <t>5e55259b8acb5f89ba9dae9f</t>
  </si>
  <si>
    <t>unable to sign and reason not captured on case, although supplied on mobile frontend.</t>
  </si>
  <si>
    <t>https://trello.com/c/O0NMlMEc/150-unable-to-sign-and-reason-not-captured-on-case-although-supplied-on-mobile-frontend</t>
  </si>
  <si>
    <t>5e4baa72d30d6202160f4401</t>
  </si>
  <si>
    <t>Court room details are not capturing in mobile</t>
  </si>
  <si>
    <t>https://trello.com/c/fyhLeMj0/104-court-room-details-are-not-capturing-in-mobile</t>
  </si>
  <si>
    <t>5e61c857396a541d8ad199a9</t>
  </si>
  <si>
    <t>Error on submitting notice from offline to online - DB failure on execute -&gt; SELECT * FROM NOTICE_DOCUMENTS WHERE NOTICE_NUMBER = 'H1/08589/811/018160' main.js:7094 code: 5message: "sqlite3_prepare_v2 failure: no such table: NOTICE_DOCUMENTS"__proto__: Object main.js:8316 Reading drafts from table NOTICE_DOCUMENTS failed: TypeError: Cannot read property 'length' of undefined</t>
  </si>
  <si>
    <t>https://trello.com/c/O8gJAM6o/169-error-on-submitting-notice-from-offline-to-online-db-failure-on-execute-select-from-noticedocuments-where-noticenumber-h1-08589</t>
  </si>
  <si>
    <t>5e56c963531a495f6bff7a29</t>
  </si>
  <si>
    <t>Charges in notice reissue have 0, 1, 2 as weird additional keys added</t>
  </si>
  <si>
    <t>https://trello.com/c/q0Ag9kVG/161-charges-in-notice-reissue-have-0-1-2-as-weird-additional-keys-added</t>
  </si>
  <si>
    <t>5e57a8648c312e8cee97519f</t>
  </si>
  <si>
    <t>Second level validations just before Submit notice</t>
  </si>
  <si>
    <t xml:space="preserve">ztemp119 (56 submitted with no offender data - this should be mandatory for issue)
</t>
  </si>
  <si>
    <t>['Riaz Patel', 'Brett de Villiers', 'Byron de Villiers', 'Nonnie']</t>
  </si>
  <si>
    <t>https://trello.com/c/225V4Px0/162-second-level-validations-just-before-submit-notice</t>
  </si>
  <si>
    <t>5e5cd8e525fa3a359a4c7af8</t>
  </si>
  <si>
    <t>Validations provider</t>
  </si>
  <si>
    <t>https://trello.com/c/zfukdUWG/165-validations-provider</t>
  </si>
  <si>
    <t>5e56c3f1cc826f0daf26a6b2</t>
  </si>
  <si>
    <t>Charge note is not added when selecting charge from charge catalogue - in notice</t>
  </si>
  <si>
    <t>https://trello.com/c/KhC1MPdb/160-charge-note-is-not-added-when-selecting-charge-from-charge-catalogue-in-notice</t>
  </si>
  <si>
    <t>5e56bd16619868063b6319f2</t>
  </si>
  <si>
    <t>Compliance followup issue contravention button should not be active before print has completed</t>
  </si>
  <si>
    <t>https://trello.com/c/UH7L7Bww/159-compliance-followup-issue-contravention-button-should-not-be-active-before-print-has-completed</t>
  </si>
  <si>
    <t>5e53ad84d20e54760185a9d9</t>
  </si>
  <si>
    <t>Enable provision of contact details for the 4 departments in compliance prints</t>
  </si>
  <si>
    <t>['Riaz Patel', 'Nonnie']</t>
  </si>
  <si>
    <t>https://trello.com/c/eBSoH4hQ/137-enable-provision-of-contact-details-for-the-4-departments-in-compliance-prints</t>
  </si>
  <si>
    <t>5e3810e71eba935a2e823b6e</t>
  </si>
  <si>
    <t>Matt - Look at signatures page on tablets</t>
  </si>
  <si>
    <t>https://trello.com/c/OIlGaLMZ/36-matt-look-at-signatures-page-on-tablets</t>
  </si>
  <si>
    <t>5e68b802cd7f86713cf5cf91</t>
  </si>
  <si>
    <t>Notice number missing in backend for CMP FU</t>
  </si>
  <si>
    <t>https://trello.com/c/cV57PF0q/180-notice-number-missing-in-backend-for-cmp-fu</t>
  </si>
  <si>
    <t>5e3811c073251882c4892ada</t>
  </si>
  <si>
    <t>Look at issues when capturing person as representative</t>
  </si>
  <si>
    <t>https://trello.com/c/4kzBX41R/40-look-at-issues-when-capturing-person-as-representative</t>
  </si>
  <si>
    <t>5e53b217852bfe46cc2e31da</t>
  </si>
  <si>
    <t>Geo locate issue - populates the additional address info field with the street no, name and suburb however it does not populate the actual address information as listed under the address: e.g. Street will not be populated, Suburb etc. (street field missing)</t>
  </si>
  <si>
    <t>https://trello.com/c/rrsRLIf9/138-geo-locate-issue-populates-the-additional-address-info-field-with-the-street-no-name-and-suburb-however-it-does-not-populate-the</t>
  </si>
  <si>
    <t>5e37f7b6a2044e6b01ae07ae</t>
  </si>
  <si>
    <t>Business person object remove additional representative info</t>
  </si>
  <si>
    <t>https://trello.com/c/IwPHjf15/18-business-person-object-remove-additional-representative-info</t>
  </si>
  <si>
    <t>5e53f860f64906156a80a3da</t>
  </si>
  <si>
    <t>NAG prints YES for charges where fine amount &gt; R0</t>
  </si>
  <si>
    <t>https://trello.com/c/VKNWS2df/142-nag-prints-yes-for-charges-where-fine-amount-r0</t>
  </si>
  <si>
    <t>5e53fb9971803682fd2b1107</t>
  </si>
  <si>
    <t>341 printed without the 341 header info again and the person details did not print - H1/00876/813/002736</t>
  </si>
  <si>
    <t>- selected offender refused to sign but print contains a signature from previous  notice issued.
- issue notice button did not become active after print but did on the second print.</t>
  </si>
  <si>
    <t>https://trello.com/c/7DZBjL1k/143-341-printed-without-the-341-header-info-again-and-the-person-details-did-not-print-h1-00876-813-002736</t>
  </si>
  <si>
    <t>5e3d35c531d2c16b0e126d79</t>
  </si>
  <si>
    <t>every single cancellation reason should have a additional info field</t>
  </si>
  <si>
    <t>all cancellation reasons must have an associated free text field for use when officer needs to add some note/reference. These new fields will be optional except in the case of the reason "Other". A note must always be added for the reason "Other".</t>
  </si>
  <si>
    <t>https://trello.com/c/WwXkSrpf/79-every-single-cancellation-reason-should-have-a-additional-info-field</t>
  </si>
  <si>
    <t>5e3bc62269cc958630b5cd34</t>
  </si>
  <si>
    <t>History Notice Review not populated</t>
  </si>
  <si>
    <t>https://trello.com/c/DIXljysi/67-history-notice-review-not-populated</t>
  </si>
  <si>
    <t>5e566df598b51d0454724bd3</t>
  </si>
  <si>
    <t>View Notice - History</t>
  </si>
  <si>
    <t>Look at object mapping</t>
  </si>
  <si>
    <t>https://trello.com/c/BFXf8UuR/154-view-notice-history</t>
  </si>
  <si>
    <t>5e5520c2de89802a2d063a2e</t>
  </si>
  <si>
    <t>Indicate under Accused signature on prints whether Offender refused or was unable to sign.</t>
  </si>
  <si>
    <t>https://trello.com/c/HIlvqx5F/148-indicate-under-accused-signature-on-prints-whether-offender-refused-or-was-unable-to-sign</t>
  </si>
  <si>
    <t>5e567f11b20f4e8418808c37</t>
  </si>
  <si>
    <t>Cancellation reason other - Must not allow empty text box. (Validation)</t>
  </si>
  <si>
    <t>https://trello.com/c/USGfDt5I/155-cancellation-reason-other-must-not-allow-empty-text-box-validation</t>
  </si>
  <si>
    <t>5e453f6dfd3bdb52737023bc</t>
  </si>
  <si>
    <t>When adding reference document - provide a message to say that the licence is expired (if expired)</t>
  </si>
  <si>
    <t>https://trello.com/c/BZ3HOGlN/98-when-adding-reference-document-provide-a-message-to-say-that-the-licence-is-expired-if-expired</t>
  </si>
  <si>
    <t>5e456380d95b3465d1b1983f</t>
  </si>
  <si>
    <t>Old details in nav provider if a new notice is being issued (this only happens in the case where the user does not nav through person tab)</t>
  </si>
  <si>
    <t>https://trello.com/c/PE9RPKDW/99-old-details-in-nav-provider-if-a-new-notice-is-being-issued-this-only-happens-in-the-case-where-the-user-does-not-nav-through-pe</t>
  </si>
  <si>
    <t>5e53eeb6e174d5263c526abb</t>
  </si>
  <si>
    <t>Evidence file carried over to new compliance notice, even though not selected to be carried over.</t>
  </si>
  <si>
    <t>@brettdevilliers2 @riazpatel6 
C1/00787/813/002508
oh oh oh... it looks like a video file from the previous notice was also carried over (even though i did not capture any evidence for the current notice).
See original notice C1/00786/813/002506 (video was successfully loaded).
file:///storage/emulated/0/DCIM/Camera/20200224_171059.mp4
docs table in SPD indicates that this file has not yet been uploaded  for the current notice but no CKS folder exists for it (probably because this wasnt technically captured from the current notice????
We had this issue or a similar one last week as well.</t>
  </si>
  <si>
    <t>https://trello.com/c/XwhU9isK/140-evidence-file-carried-over-to-new-compliance-notice-even-though-not-selected-to-be-carried-over</t>
  </si>
  <si>
    <t>5e3811fc7dcfa03d1ffa04f4</t>
  </si>
  <si>
    <t>Complete validations (UI cue)</t>
  </si>
  <si>
    <t>https://trello.com/c/ieIv6YA3/43-complete-validations-ui-cue</t>
  </si>
  <si>
    <t>5e3d257e23360f1f63f9b3cb</t>
  </si>
  <si>
    <t>Check that correct notice types are repleinshed when getting new notice numbers according to what the user is able to issue</t>
  </si>
  <si>
    <t>https://trello.com/c/TRTpOAH0/77-check-that-correct-notice-types-are-repleinshed-when-getting-new-notice-numbers-according-to-what-the-user-is-able-to-issue</t>
  </si>
  <si>
    <t>5e4282b3ac66784b38edb45c</t>
  </si>
  <si>
    <t>Add validation to the second charge added to a notice to check if it is an NAG or AG. If the charge type is the same as the one already added then display alert and prevent user from adding the charge.</t>
  </si>
  <si>
    <t>NAG and AGs cannot be mixed in a single notice. A notice can only contain a single type of charge. 
Error message/alert should display as "Please issue a separate notice for this charge. NAG and AG offences cannot be added onto the same notice."</t>
  </si>
  <si>
    <t>https://trello.com/c/txtY0E5B/87-add-validation-to-the-second-charge-added-to-a-notice-to-check-if-it-is-an-nag-or-ag-if-the-charge-type-is-the-same-as-the-one-a</t>
  </si>
  <si>
    <t>5e3814c504ffbf1dd84da452</t>
  </si>
  <si>
    <t>unset menu button has no message indicating "no unset items"</t>
  </si>
  <si>
    <t>https://trello.com/c/EfpAu0qT/58-unset-menu-button-has-no-message-indicating-no-unset-items</t>
  </si>
  <si>
    <t>5e53ed016181511e49976991</t>
  </si>
  <si>
    <t>Compliance follow up date and time do not print (N/A printed)</t>
  </si>
  <si>
    <t>@brettdevilliers2 
C1/00787/813/002508
original compliance notice issued did print the follow up date and time. New compliance was issued through carrying over location and person from the previous/original (on the successful notice issue confirmation page - click "proceed to issue notice"). Follow up date and time were supplied but the print did not have them.</t>
  </si>
  <si>
    <t>https://trello.com/c/MCQvpQFY/139-compliance-follow-up-date-and-time-do-not-print-n-a-printed</t>
  </si>
  <si>
    <t>5e53f608f7a1131e61aba5d2</t>
  </si>
  <si>
    <t>location missing on compliance follow up and consequently on the resulting 56, along with court date in the 56. the notice however prints successfully without the court date (a mandatory field for a 56), this should not be the case.</t>
  </si>
  <si>
    <t xml:space="preserve">- please also change label on print button for a compliance 56 to read 'Print follow up: 56 notice' in full.
- the "complete follow up" button is active prior to print
</t>
  </si>
  <si>
    <t>['Brett de Villiers', 'Riaz Patel']</t>
  </si>
  <si>
    <t>https://trello.com/c/VxJffQeR/141-location-missing-on-compliance-follow-up-and-consequently-on-the-resulting-56-along-with-court-date-in-the-56-the-notice-however</t>
  </si>
  <si>
    <t>5e552e4c7a63c17312e5a725</t>
  </si>
  <si>
    <t>Notice number does not print for 341 - no person has been captured in this scenario - H1/08794/811/018570</t>
  </si>
  <si>
    <t>https://trello.com/c/n97daNHi/151-notice-number-does-not-print-for-341-no-person-has-been-captured-in-this-scenario-h1-08794-811-018570</t>
  </si>
  <si>
    <t>5e53fd0b6f9fde3b45f43aca</t>
  </si>
  <si>
    <t>court date missing in 56 issue (court selected manually)</t>
  </si>
  <si>
    <t>https://trello.com/c/aVjznxxD/144-court-date-missing-in-56-issue-court-selected-manually</t>
  </si>
  <si>
    <t>5e3d2553900436143a310b34</t>
  </si>
  <si>
    <t>Add notice number check after submitting a notice in online mode</t>
  </si>
  <si>
    <t>https://trello.com/c/S35QM0os/76-add-notice-number-check-after-submitting-a-notice-in-online-mode</t>
  </si>
  <si>
    <t>5e41144736c92373010fdc93</t>
  </si>
  <si>
    <t>Offender signature: Add "Offender could not sign" checkbox, which when checked brings up an additional free text field for the user to provide the reason for the offender not being able to sign.</t>
  </si>
  <si>
    <t>https://trello.com/c/DCDNohAz/81-offender-signature-add-offender-could-not-sign-checkbox-which-when-checked-brings-up-an-additional-free-text-field-for-the-user</t>
  </si>
  <si>
    <t>5e43c1bca942d30bcf6597fc</t>
  </si>
  <si>
    <t>Offence date &amp; time changes to current when the notice is opened in History</t>
  </si>
  <si>
    <t>https://trello.com/c/BKuxFv1V/89-offence-date-time-changes-to-current-when-the-notice-is-opened-in-history</t>
  </si>
  <si>
    <t>5e4e4247933d9903b683d2f8</t>
  </si>
  <si>
    <t>Compliance related items</t>
  </si>
  <si>
    <t xml:space="preserve">- i can sign and select offender refused to sign in compliance follow up
- "complete follow up" button is enabled even before printing is done on CMP follow up.
- statuses are not displayed on compliance notice in history after the follow up is actioned. 
</t>
  </si>
  <si>
    <t>https://trello.com/c/JFtzgOnb/123-compliance-related-items</t>
  </si>
  <si>
    <t>5e4fc6961a11986c4bde7693</t>
  </si>
  <si>
    <t>Court date and time sending to the backend fir 341 and CMP. Must only send these for 56 Notices.</t>
  </si>
  <si>
    <t>https://trello.com/c/fxVVrDmD/130-court-date-and-time-sending-to-the-backend-fir-341-and-cmp-must-only-send-these-for-56-notices</t>
  </si>
  <si>
    <t>5e4fbf7c984b6617213267c5</t>
  </si>
  <si>
    <t>National Law vs. By Law filtering in charge search.</t>
  </si>
  <si>
    <t>https://trello.com/c/Q5KHMyEO/129-national-law-vs-by-law-filtering-in-charge-search</t>
  </si>
  <si>
    <t>5e4e26389d8371279e2bd1fa</t>
  </si>
  <si>
    <t>When I try to issue the 341 Notice from the Charge Catalogue @Hide  : Court Date, Court Room and Time information.</t>
  </si>
  <si>
    <t>https://trello.com/c/vj2VNHUS/120-when-i-try-to-issue-the-341-notice-from-the-charge-catalogue-hide-court-date-court-room-and-time-information</t>
  </si>
  <si>
    <t>5e4e263053a22e245f1a9044</t>
  </si>
  <si>
    <t>When I try to issue the CMP Notice from the Charge Catalogue @Hide : Court Date, Court Room and Time information.</t>
  </si>
  <si>
    <t>https://trello.com/c/MuUizZDo/119-when-i-try-to-issue-the-cmp-notice-from-the-charge-catalogue-hide-court-date-court-room-and-time-information</t>
  </si>
  <si>
    <t>5e414a1f8fe1723c48026fbe</t>
  </si>
  <si>
    <t>On document type other add additional text field: "Other document/licence type"</t>
  </si>
  <si>
    <t>https://trello.com/c/s9DtMYlF/85-on-document-type-other-add-additional-text-field-other-document-licence-type</t>
  </si>
  <si>
    <t>5e4d6dd90cde570de7cec306</t>
  </si>
  <si>
    <t>Add additional charge fields</t>
  </si>
  <si>
    <t>Additional fields:
lengthMeters: number;
numberWheels: number;
parkingSignDetails: string;
for chargeFldGroups: 8, 10 and 11 respectively.</t>
  </si>
  <si>
    <t>https://trello.com/c/xOolRadk/118-add-additional-charge-fields</t>
  </si>
  <si>
    <t>5e4e6fd33d0ed543bb0f5936</t>
  </si>
  <si>
    <t>Print must show short charge description</t>
  </si>
  <si>
    <t>https://trello.com/c/dzminnai/125-print-must-show-short-charge-description</t>
  </si>
  <si>
    <t>5e4ef6444de4ba254be62daf</t>
  </si>
  <si>
    <t>Payment date not printing</t>
  </si>
  <si>
    <t>https://trello.com/c/sZzOukLU/127-payment-date-not-printing</t>
  </si>
  <si>
    <t>5e4e6f748871b205604ba5d1</t>
  </si>
  <si>
    <t>All charges NOAG defaults to YES</t>
  </si>
  <si>
    <t>https://trello.com/c/erZLt09k/124-all-charges-noag-defaults-to-yes</t>
  </si>
  <si>
    <t>5e4bac054c7a057540fef72a</t>
  </si>
  <si>
    <t>Master loader promise is returning too early before data is populated - signing has an issue due to this</t>
  </si>
  <si>
    <t>https://trello.com/c/kvo9jqIM/106-master-loader-promise-is-returning-too-early-before-data-is-populated-signing-has-an-issue-due-to-this</t>
  </si>
  <si>
    <t>5e60d7b1aba97d40a265be22</t>
  </si>
  <si>
    <t>Send final print text in base64 to backend when notice submitted</t>
  </si>
  <si>
    <t>https://trello.com/c/woX8pQbQ/168-send-final-print-text-in-base64-to-backend-when-notice-submitted</t>
  </si>
  <si>
    <t>5e4cfde1acb25a1fa48d8838</t>
  </si>
  <si>
    <t>Error with inserting draft - 6message: "sqlite3_step failure: UNIQUE constraint failed: NOTICE_DRAFT.NOTICE_NUMBER, NOTICE_DRAFT.VERSION"__proto__: Object</t>
  </si>
  <si>
    <t>Notice Issue Tab</t>
  </si>
  <si>
    <t>https://trello.com/c/cvG9q8uL/113-error-with-inserting-draft-6message-sqlite3step-failure-unique-constraint-failed-noticedraftnoticenumber-noticedraftversionproto</t>
  </si>
  <si>
    <t>5e4d0ce90e5b803c4fe34842</t>
  </si>
  <si>
    <t>Notice number not being deleted after successful post</t>
  </si>
  <si>
    <t>https://trello.com/c/CEwwPTYj/114-notice-number-not-being-deleted-after-successful-post</t>
  </si>
  <si>
    <t>5e4d11765e9e75781ac62f94</t>
  </si>
  <si>
    <t>Signature page after master loader still slow</t>
  </si>
  <si>
    <t>https://trello.com/c/qQr3GSOc/115-signature-page-after-master-loader-still-slow</t>
  </si>
  <si>
    <t>5e3d1aa2fcf772536bfe9ae9</t>
  </si>
  <si>
    <t>Check after master loader that large data sets (streets, charges) are not empty. If they are full sync</t>
  </si>
  <si>
    <t>https://trello.com/c/4TuQx3Ap/73-check-after-master-loader-that-large-data-sets-streets-charges-are-not-empty-if-they-are-full-sync</t>
  </si>
  <si>
    <t>5e37f6646dd29a1e0fa36528</t>
  </si>
  <si>
    <t>Vehicle save button hiding below tabs</t>
  </si>
  <si>
    <t>https://trello.com/c/AxXDXWaG/12-vehicle-save-button-hiding-below-tabs</t>
  </si>
  <si>
    <t>5e43f1cc036a3b8a7b479abb</t>
  </si>
  <si>
    <t>Issue available before print on CMP FU</t>
  </si>
  <si>
    <t>https://trello.com/c/lqqqZQEm/94-issue-available-before-print-on-cmp-fu</t>
  </si>
  <si>
    <t>5e38113944d4b40ad7769741</t>
  </si>
  <si>
    <t>Boolean values sent to backend on issue should be 'X' or '' (look at isTaxi)</t>
  </si>
  <si>
    <t>https://trello.com/c/nO7OmVGA/37-boolean-values-sent-to-backend-on-issue-should-be-x-or-look-at-istaxi</t>
  </si>
  <si>
    <t>5e381304cf9d954f1685f770</t>
  </si>
  <si>
    <t>Check maser data obsolete indicator during master loader</t>
  </si>
  <si>
    <t>https://trello.com/c/xJMIkrMP/46-check-maser-data-obsolete-indicator-during-master-loader</t>
  </si>
  <si>
    <t>5e43f1d9b177451ce6060cc4</t>
  </si>
  <si>
    <t>N/A for vehicle missing on FU print</t>
  </si>
  <si>
    <t>https://trello.com/c/86Bc1CJp/95-n-a-for-vehicle-missing-on-fu-print</t>
  </si>
  <si>
    <t>5e381387fb53ac373cffc7e6</t>
  </si>
  <si>
    <t>Look at obsolete data flag</t>
  </si>
  <si>
    <t>https://trello.com/c/ajyuXTGk/52-look-at-obsolete-data-flag</t>
  </si>
  <si>
    <t>5e3bd443935a777c33cfa4be</t>
  </si>
  <si>
    <t>Review notice page - The view does not close when a business is added to the notice.</t>
  </si>
  <si>
    <t>Business details were also not showing. This has now been fixed.</t>
  </si>
  <si>
    <t>https://trello.com/c/ZsTf2fvj/68-review-notice-page-the-view-does-not-close-when-a-business-is-added-to-the-notice</t>
  </si>
  <si>
    <t>5e37f7e33488a6101f98461e</t>
  </si>
  <si>
    <t>Offender signature default on issue page</t>
  </si>
  <si>
    <t>https://trello.com/c/MtN8iuPD/20-offender-signature-default-on-issue-page</t>
  </si>
  <si>
    <t>5e3810c36fb80b0a9e23241a</t>
  </si>
  <si>
    <t>Look at review notice view issues</t>
  </si>
  <si>
    <t>Compliance follow up (or all notice types) reconcile the data that is shown - Should be the same as the review for normal notice.</t>
  </si>
  <si>
    <t>https://trello.com/c/33CAzdb2/35-look-at-review-notice-view-issues</t>
  </si>
  <si>
    <t>5e414aa4073a9a6c8f02d0c1</t>
  </si>
  <si>
    <t>Create Print Map Service - Convert legacy print map code</t>
  </si>
  <si>
    <t>Print map service will reduce the maintenance going forward as it would follow the objects key value pairs. If the object is updated there will be no need to update the code it will automatically update what is printed. This will also reduce the amount of code needed to obtain the same functionality</t>
  </si>
  <si>
    <t>['Byron de Villiers', 'Riaz Patel']</t>
  </si>
  <si>
    <t>https://trello.com/c/YwfxNQo9/86-create-print-map-service-convert-legacy-print-map-code</t>
  </si>
  <si>
    <t>5e3d1ac226ba674a2832ddd3</t>
  </si>
  <si>
    <t>Update notice number pool to 20 of each type</t>
  </si>
  <si>
    <t>https://trello.com/c/m6pAhQ0b/75-update-notice-number-pool-to-20-of-each-type</t>
  </si>
  <si>
    <t>5e68b6d816d07308bc53ac28</t>
  </si>
  <si>
    <t>vehicle : Make and Description are not mandatory. In 56,341 &amp; CMP [ If offender doesn't have vehicle]</t>
  </si>
  <si>
    <t>https://trello.com/c/UWkNpV7i/177-vehicle-make-and-description-are-not-mandatory-in-56341-cmp-if-offender-doesnt-have-vehicle</t>
  </si>
  <si>
    <t>5e43f1a3711fa0030a8378ca</t>
  </si>
  <si>
    <t>Print CMP FU - charge status missing for 54</t>
  </si>
  <si>
    <t>https://trello.com/c/tK1LtoaH/92-print-cmp-fu-charge-status-missing-for-54</t>
  </si>
  <si>
    <t>5e4146392d9db278890b16b3</t>
  </si>
  <si>
    <t>Add history return button in navbar when entering from the side menu</t>
  </si>
  <si>
    <t>https://trello.com/c/WcwTJTjR/84-add-history-return-button-in-navbar-when-entering-from-the-side-menu</t>
  </si>
  <si>
    <t>5e3d1ab664d78e52faebf6f7</t>
  </si>
  <si>
    <t>Add notice number check in background service for connectivity check</t>
  </si>
  <si>
    <t>https://trello.com/c/Gr9YdVr1/74-add-notice-number-check-in-background-service-for-connectivity-check</t>
  </si>
  <si>
    <t>5e381282cb8be627138f7598</t>
  </si>
  <si>
    <t>If offender signs - remove offender refused to sign</t>
  </si>
  <si>
    <t>https://trello.com/c/Y4Ycq9GN/45-if-offender-signs-remove-offender-refused-to-sign</t>
  </si>
  <si>
    <t>5e3814851cd9ba70cc583595</t>
  </si>
  <si>
    <t>Go to History from side menu, no back button</t>
  </si>
  <si>
    <t>https://trello.com/c/BVN9TPVo/57-go-to-history-from-side-menu-no-back-button</t>
  </si>
  <si>
    <t>5e3811d265ca7806c7db5abb</t>
  </si>
  <si>
    <t>Look at offender signing on tablet</t>
  </si>
  <si>
    <t>https://trello.com/c/jjA5hQvU/41-look-at-offender-signing-on-tablet</t>
  </si>
  <si>
    <t>5e37f7f20da94565dc5f6cc7</t>
  </si>
  <si>
    <t>Are cancelled notices shown on in history</t>
  </si>
  <si>
    <t>https://trello.com/c/5F77RHd4/21-are-cancelled-notices-shown-on-in-history</t>
  </si>
  <si>
    <t>5e38132b90c40414e41a068f</t>
  </si>
  <si>
    <t>Look street not being sent to the backend in the notice issue</t>
  </si>
  <si>
    <t>https://trello.com/c/W1L5C09c/47-look-street-not-being-sent-to-the-backend-in-the-notice-issue</t>
  </si>
  <si>
    <t>5e3bc5e9cd75658c09bc8aa8</t>
  </si>
  <si>
    <t>History tabs not populated</t>
  </si>
  <si>
    <t>https://trello.com/c/Rmb0pKNY/65-history-tabs-not-populated</t>
  </si>
  <si>
    <t>5e4145f960ea007942be8dc6</t>
  </si>
  <si>
    <t>Do not process validations on add-item modal - person if the field is empty (empty string)</t>
  </si>
  <si>
    <t>When selecting a field with validations on the person tab an error message occurred asking for the field to have a valid entry. An empty field should also be a valid entry</t>
  </si>
  <si>
    <t>https://trello.com/c/2tgUDQx5/83-do-not-process-validations-on-add-item-modal-person-if-the-field-is-empty-empty-string</t>
  </si>
  <si>
    <t>5e3813e4a19c031e70226695</t>
  </si>
  <si>
    <t>If print fails make sure to overwrite draft entry as print count will remain the same and print count is key</t>
  </si>
  <si>
    <t>https://trello.com/c/N8ikpixq/53-if-print-fails-make-sure-to-overwrite-draft-entry-as-print-count-will-remain-the-same-and-print-count-is-key</t>
  </si>
  <si>
    <t>5e55075479a6ef8e54de9f2d</t>
  </si>
  <si>
    <t>Error Posting Notice - Case type '' is invalid when doing a 56 from draft</t>
  </si>
  <si>
    <t>https://trello.com/c/DdYLr7Ql/146-error-posting-notice-case-type-is-invalid-when-doing-a-56-from-draft</t>
  </si>
  <si>
    <t>5e37f6646dd29a1e0fa3651e</t>
  </si>
  <si>
    <t>Testing</t>
  </si>
  <si>
    <t>Cards come here after being code reviewed, and we're in a place for QA and fixing things QA finds. Design review also happens at this stage.
If we have too many cards here, we should throw a flag and figure out whether we're building things that take too many passes of QA, or if we're bottlenecked on QA time.</t>
  </si>
  <si>
    <t>https://trello.com/c/z60X8nQH/7-testing</t>
  </si>
  <si>
    <t>5e37f6646dd29a1e0fa3651a</t>
  </si>
  <si>
    <t>done</t>
  </si>
  <si>
    <t xml:space="preserve">We shipped it to production! </t>
  </si>
  <si>
    <t>https://trello.com/c/KuOmmPGd/5-done</t>
  </si>
  <si>
    <t>5e6a1bb2383bc28ab63ebbb3</t>
  </si>
  <si>
    <t>Spacer between signature header and actual signature on print</t>
  </si>
  <si>
    <t>https://trello.com/c/phJdBk6N/193-spacer-between-signature-header-and-actual-signature-on-print</t>
  </si>
  <si>
    <t>5e67784886f3b308239e3e54</t>
  </si>
  <si>
    <t>Evidence files not retained in drafts</t>
  </si>
  <si>
    <t>https://trello.com/c/O4ID50iz/174-evidence-files-not-retained-in-drafts</t>
  </si>
  <si>
    <t>5e6659d923744367e1eef743</t>
  </si>
  <si>
    <t>Validations should not be checked for notice cancellation</t>
  </si>
  <si>
    <t>https://trello.com/c/4qr86hT1/173-validations-should-not-be-checked-for-notice-cancellation</t>
  </si>
  <si>
    <t>5e6221e3bbb2e46f5af027c9</t>
  </si>
  <si>
    <t>Offline mode not working - stops on getting user profile</t>
  </si>
  <si>
    <t>['Brett de Villiers', 'Riaz Patel', 'Byron de Villiers']</t>
  </si>
  <si>
    <t>https://trello.com/c/695dfsKk/171-offline-mode-not-working-stops-on-getting-user-profile</t>
  </si>
  <si>
    <t>5e5cd86013e3f81e554ec811</t>
  </si>
  <si>
    <t>Unable to sign UI on issue notice tab</t>
  </si>
  <si>
    <t>Selecting refused to sign tick box should untick unable to sign and visa versa</t>
  </si>
  <si>
    <t>https://trello.com/c/gROMOvXp/163-unable-to-sign-ui-on-issue-notice-tab</t>
  </si>
  <si>
    <t>5e568475d7c0996f4c99bbb8</t>
  </si>
  <si>
    <t>Revert Image capturing to no water mark for the UAT until the ionic and angular update is complete.</t>
  </si>
  <si>
    <t>https://trello.com/c/nbYnSX3U/156-revert-image-capturing-to-no-water-mark-for-the-uat-until-the-ionic-and-angular-update-is-complete</t>
  </si>
  <si>
    <t>5e568573e6e2bc21d0bd60cc</t>
  </si>
  <si>
    <t>Notice time and date not showing in notice issue tab from history</t>
  </si>
  <si>
    <t xml:space="preserve">Offence date and time is actually not populating when issuing the notice. </t>
  </si>
  <si>
    <t>https://trello.com/c/DyYKKiek/157-notice-time-and-date-not-showing-in-notice-issue-tab-from-history</t>
  </si>
  <si>
    <t>5e68d70fd5a25a04db9b4129</t>
  </si>
  <si>
    <t>Cancellation of notices broken. Screen remains on issue tab after submitting cancellation reason</t>
  </si>
  <si>
    <t>https://trello.com/c/RkpewUYN/189-cancellation-of-notices-broken-screen-remains-on-issue-tab-after-submitting-cancellation-reason</t>
  </si>
  <si>
    <t>5e37f8e3f38bb128ef8018c9</t>
  </si>
  <si>
    <t>Add more rules to search item modal sort list with characters appearing at the start of a word (look at guide for better sorting/filtering methods)</t>
  </si>
  <si>
    <t>https://trello.com/c/kkgQ2ZvX/26-add-more-rules-to-search-item-modal-sort-list-with-characters-appearing-at-the-start-of-a-word-look-at-guide-for-better-sorting</t>
  </si>
  <si>
    <t>5e6780442425fa7b0d7081b9</t>
  </si>
  <si>
    <t>Traffic wants to filter by charge group to get to charge quicker: filters should therefore be NRTA, NLTA, NRTR, Axle explicitly instead of national law</t>
  </si>
  <si>
    <t>"By law" should remain as one of the filters</t>
  </si>
  <si>
    <t>https://trello.com/c/VCZ4vM9P/176-traffic-wants-to-filter-by-charge-group-to-get-to-charge-quicker-filters-should-therefore-be-nrta-nlta-nrtr-axle-explicitly-inst</t>
  </si>
  <si>
    <t>5e4bab3239aa552ce1caaeb5</t>
  </si>
  <si>
    <t>Get merged offender details in person tab</t>
  </si>
  <si>
    <t>This is in only in add item modal for businesses</t>
  </si>
  <si>
    <t>https://trello.com/c/UwuU9a2q/105-get-merged-offender-details-in-person-tab</t>
  </si>
  <si>
    <t>5e539a440569a9261a377e64</t>
  </si>
  <si>
    <t>ERROR TypeError: Cannot read property 'ADDRESS_TYPE' of undefined at ModelConversionProvider.webpackJsonp.30.ModelConversionProvider.toAppModel (main.js:3771) at 1.js:329 at Array.forEach (&lt;anonymous&gt;) at HistoryPage.webpackJsonp.420.HistoryPage.printPeople (1.js:325) at HistoryPage.webpackJsonp.420.HistoryPage.viewNotice (1.js:304) at Object.eval [as handleEvent] (HistoryPage.html:67) at handleEvent (vendor.js:13964) at callWithDebugContext (vendor.js:15473) at Object.debugHandleEvent [as handleEvent] (vendor.js:15060) at dispatchEvent (vendor.js:10379)</t>
  </si>
  <si>
    <t xml:space="preserve">On loading from a 56 from history - S1/05237/811/008672. Created on 24-02-2020
</t>
  </si>
  <si>
    <t>https://trello.com/c/yPXrSNcx/133-error-typeerror-cannot-read-property-addresstype-of-undefined-at-modelconversionproviderwebpackjsonp30modelconversionprovidertoa</t>
  </si>
  <si>
    <t>5e70e190fa9fba33f931a164</t>
  </si>
  <si>
    <t>Print Service Refactor</t>
  </si>
  <si>
    <t>Broken up into multiple small maintainable functions
Using notice details instead of using many variables e.g. noticeNumber, noticeType etc. all replaced by notice details.
All setting of data is done is in the service - eliminate setting things twice.
All print map setting is done in the print service - eliminated setting things twice.</t>
  </si>
  <si>
    <t>https://trello.com/c/33Cpr7kY/203-print-service-refactor</t>
  </si>
  <si>
    <t>5e4cfda9b48e1050b04a483b</t>
  </si>
  <si>
    <t>‘’ DB failure on execute -&gt; DELETE FROM NOTICE_NUMBER WHERE NOTICE_NUMBER = 'S1/03545/811/008182' main.js:7006  1.	message: "sqlite3_prepare_v2 failure: no such table: NOTICE_NUMBER", code: 5} 1.	code:5 2.	message:"sqlite3_prepare_v2 failure: no such table: NOTICE_NUMBER" I think its happening in the notice provider</t>
  </si>
  <si>
    <t>https://trello.com/c/ZyshqlY6/111-db-failure-on-execute-delete-from-noticenumber-where-noticenumber-s1-03545-811-008182-mainjs7006-1-message-sqlite3preparev2-fai</t>
  </si>
  <si>
    <t>5e37f920be014061dffb2d76</t>
  </si>
  <si>
    <t>Refined database service - insert many and table creation</t>
  </si>
  <si>
    <t>https://trello.com/c/ukPWekRp/28-refined-database-service-insert-many-and-table-creation</t>
  </si>
  <si>
    <t>5e3844a690c40414e42cbb1b</t>
  </si>
  <si>
    <t>Synonym list UI - highlight searched words and synonyms in charge description</t>
  </si>
  <si>
    <t>https://trello.com/c/fDMBp7Ax/61-synonym-list-ui-highlight-searched-words-and-synonyms-in-charge-description</t>
  </si>
  <si>
    <t>5e4cfdb6eca47c26289d5364</t>
  </si>
  <si>
    <t>Court Room not populating on location tab</t>
  </si>
  <si>
    <t>https://trello.com/c/hW4XYJy8/112-court-room-not-populating-on-location-tab</t>
  </si>
  <si>
    <t>5e6a1620dff91071d2eb1d10</t>
  </si>
  <si>
    <t>getting unable to print message after successful print</t>
  </si>
  <si>
    <t>https://trello.com/c/26iDhypZ/191-getting-unable-to-print-message-after-successful-print</t>
  </si>
  <si>
    <t>5e3d496dafa4937f198db62a</t>
  </si>
  <si>
    <t>create print service and move all printing functionality to the service so that it can be used everywhere in the application</t>
  </si>
  <si>
    <t>https://trello.com/c/kHQV5aSb/80-create-print-service-and-move-all-printing-functionality-to-the-service-so-that-it-can-be-used-everywhere-in-the-application</t>
  </si>
  <si>
    <t>5e709dd602904c67adc96d42</t>
  </si>
  <si>
    <t>UI for Drafts page is broken</t>
  </si>
  <si>
    <t>https://trello.com/c/WIc7Bhvy/201-ui-for-drafts-page-is-broken</t>
  </si>
  <si>
    <t>5e705f164ab3608a630f187c</t>
  </si>
  <si>
    <t>Print headers missing on CMP/FU</t>
  </si>
  <si>
    <t>Fixed in version 0.0.12</t>
  </si>
  <si>
    <t>['Riaz Patel', 'Nonnie', 'Byron de Villiers']</t>
  </si>
  <si>
    <t>https://trello.com/c/hEp4dZh2/200-print-headers-missing-on-cmp-fu</t>
  </si>
  <si>
    <t>5e5687534192278bab749315</t>
  </si>
  <si>
    <t>Corrective action not printing for compliance notice (this is captured on Charge note field on the app)</t>
  </si>
  <si>
    <t>https://trello.com/c/C6ap9gqO/158-corrective-action-not-printing-for-compliance-notice-this-is-captured-on-charge-note-field-on-the-app</t>
  </si>
  <si>
    <t>5e68b76fb9064f56225c6401</t>
  </si>
  <si>
    <t>Person tab missing the information from the original compliance notice.</t>
  </si>
  <si>
    <t>Gendertype not being returned from the backend</t>
  </si>
  <si>
    <t>https://trello.com/c/70Y8N1OA/178-person-tab-missing-the-information-from-the-original-compliance-notice</t>
  </si>
  <si>
    <t>5e60bad3ed4d6e4103e65875</t>
  </si>
  <si>
    <t>Error on choosing follow up date and time on CMP notice - DB failure on execute -&gt; UPDATE NOTICE SET FOLLOW_UP_DATE OFFENCE_DATE = '2020-03-05',OFFENCE_TIME = '08:38:00' WHERE NOTICE_NUMBER = 'C1/08119/811/017170' main.js:7211 code: 5message: "sqlite3_prepare_v2 failure: near "OFFENCE_DATE": syntax error"__proto__: Object</t>
  </si>
  <si>
    <t>https://trello.com/c/zWlC2oGp/167-error-on-choosing-follow-up-date-and-time-on-cmp-notice-db-failure-on-execute-update-notice-set-followupdate-offencedate-2020-03</t>
  </si>
  <si>
    <t>5e68b7d98122f0807aafdd46</t>
  </si>
  <si>
    <t>Change finalPrint name to CMP_finalPrint and FU_finalPrint</t>
  </si>
  <si>
    <t>https://trello.com/c/dHspMCtn/179-change-finalprint-name-to-cmpfinalprint-and-fufinalprint</t>
  </si>
  <si>
    <t>5e552f01ee151d736b480905</t>
  </si>
  <si>
    <t>redirect from issue tab is not happening after clicking issue notice for 341 (so we do not get to the successful issue confirmation page) but case is created in the backend successfully.</t>
  </si>
  <si>
    <t>https://trello.com/c/VeKkGDHT/152-redirect-from-issue-tab-is-not-happening-after-clicking-issue-notice-for-341-so-we-do-not-get-to-the-successful-issue-confirmati</t>
  </si>
  <si>
    <t>5e5e127d9b6b553f49c9a024</t>
  </si>
  <si>
    <t>Offender Address (Business Rep) details not loaded into print variables on a 56 loaded from draft</t>
  </si>
  <si>
    <t>https://trello.com/c/YhOLQO1q/166-offender-address-business-rep-details-not-loaded-into-print-variables-on-a-56-loaded-from-draft</t>
  </si>
  <si>
    <t>5e37f7134c302a556c4c8f92</t>
  </si>
  <si>
    <t>Add active states to keep notice information buttons - new styling</t>
  </si>
  <si>
    <t>https://trello.com/c/jydTNqlg/15-add-active-states-to-keep-notice-information-buttons-new-styling</t>
  </si>
  <si>
    <t>5e5cd8c39c932b2000881d00</t>
  </si>
  <si>
    <t>Database provider refactor - create tables in new provider. Promises to handled in array</t>
  </si>
  <si>
    <t>https://trello.com/c/AAXDIZ0U/164-database-provider-refactor-create-tables-in-new-provider-promises-to-handled-in-array</t>
  </si>
  <si>
    <t>5e5398dc9e095d89bd70a7a8</t>
  </si>
  <si>
    <t>Follow up on contact details for CMP print</t>
  </si>
  <si>
    <t>['Nonnie']</t>
  </si>
  <si>
    <t>https://trello.com/c/sMpFLOQZ/132-follow-up-on-contact-details-for-cmp-print</t>
  </si>
  <si>
    <t>5e38137fa17a0108c054ec4d</t>
  </si>
  <si>
    <t>Force Group and Notice Print Counter data is Missing</t>
  </si>
  <si>
    <t>https://trello.com/c/QwOW8GxH/51-force-group-and-notice-print-counter-data-is-missing</t>
  </si>
  <si>
    <t>5e4bade6c299b8661c0887c6</t>
  </si>
  <si>
    <t>Charges are not available @charge tab</t>
  </si>
  <si>
    <t>https://trello.com/c/MJRSDvTD/109-charges-are-not-available-charge-tab</t>
  </si>
  <si>
    <t>5e5407293ba1547a29a6ca37</t>
  </si>
  <si>
    <t>offender details missing on S56 print where offender is business. Business representative details must be populated in offender section of print</t>
  </si>
  <si>
    <t>Fixed, pls test</t>
  </si>
  <si>
    <t>https://trello.com/c/X6PsKum1/145-offender-details-missing-on-s56-print-where-offender-is-business-business-representative-details-must-be-populated-in-offender-s</t>
  </si>
  <si>
    <t>5e4ef6290f8fd719870774b6</t>
  </si>
  <si>
    <t>Add app version to side menu</t>
  </si>
  <si>
    <t>https://trello.com/c/m25GaWHK/126-add-app-version-to-side-menu</t>
  </si>
  <si>
    <t>5e38136a558d395a1e369d51</t>
  </si>
  <si>
    <t>Implement offender signing logic in CMP</t>
  </si>
  <si>
    <t xml:space="preserve">If offender signs, remove the option/tickbox offender refused to sign  </t>
  </si>
  <si>
    <t>https://trello.com/c/GLk0LKpg/50-implement-offender-signing-logic-in-cmp</t>
  </si>
  <si>
    <t>5e3bc605c19d128b81a1864f</t>
  </si>
  <si>
    <t>History evidence tab has old UI</t>
  </si>
  <si>
    <t>https://trello.com/c/pgMh1RCz/66-history-evidence-tab-has-old-ui</t>
  </si>
  <si>
    <t>5e381269f5dc4a0a27ec9d6d</t>
  </si>
  <si>
    <t>Add await to the background service that sends notice packs from the offline queue. Do not allow the same notice pack to be sent of a request for it is process already</t>
  </si>
  <si>
    <t>https://trello.com/c/PVDgNihN/44-add-await-to-the-background-service-that-sends-notice-packs-from-the-offline-queue-do-not-allow-the-same-notice-pack-to-be-sent</t>
  </si>
  <si>
    <t>5e3be0ea004d0c8fb16463ab</t>
  </si>
  <si>
    <t>Update UI - move the trash button to the top right of media/document item in Evidence tab</t>
  </si>
  <si>
    <t>https://trello.com/c/sJ4HxbaV/70-update-ui-move-the-trash-button-to-the-top-right-of-media-document-item-in-evidence-tab</t>
  </si>
  <si>
    <t>5e3bec1dd3017b27a4f3fbbf</t>
  </si>
  <si>
    <t>Evidence page cleanup - uses models services and ui</t>
  </si>
  <si>
    <t>https://trello.com/c/b5aULlOO/71-evidence-page-cleanup-uses-models-services-and-ui</t>
  </si>
  <si>
    <t>5e38119f787a6228a95ba410</t>
  </si>
  <si>
    <t>Change is public transport to radio button (confirm with Matt)</t>
  </si>
  <si>
    <t>https://trello.com/c/vaAu65cm/39-change-is-public-transport-to-radio-button-confirm-with-matt</t>
  </si>
  <si>
    <t>5e392fce6c13551779340829</t>
  </si>
  <si>
    <t>Person as representative on add person modal. Additional field for business</t>
  </si>
  <si>
    <t>https://trello.com/c/K6vDTE9E/62-person-as-representative-on-add-person-modal-additional-field-for-business</t>
  </si>
  <si>
    <t>5e381346a10c85703f404261</t>
  </si>
  <si>
    <t>Ensure that the documents can be sent to backend in notice issue</t>
  </si>
  <si>
    <t>https://trello.com/c/7stiQKJg/48-ensure-that-the-documents-can-be-sent-to-backend-in-notice-issue</t>
  </si>
  <si>
    <t>5e37f89f9f93c007da0645e7</t>
  </si>
  <si>
    <t>History search (see mail from Matt - mostly resolved)</t>
  </si>
  <si>
    <t>https://trello.com/c/1rUM6aV5/25-history-search-see-mail-from-matt-mostly-resolved</t>
  </si>
  <si>
    <t>5e3a9bc88686866428a89040</t>
  </si>
  <si>
    <t>Issuing notice from charge catalog does not get notice numbers for CMP</t>
  </si>
  <si>
    <t>https://trello.com/c/ZeSYiiX6/63-issuing-notice-from-charge-catalog-does-not-get-notice-numbers-for-cmp</t>
  </si>
  <si>
    <t>5e38140e55120c10e9d7d808</t>
  </si>
  <si>
    <t>Look at is transport vehicle radio button strange behaviour</t>
  </si>
  <si>
    <t>https://trello.com/c/RPtj7mKB/54-look-at-is-transport-vehicle-radio-button-strange-behaviour</t>
  </si>
  <si>
    <t>5e3bdf1e515f0811e9118947</t>
  </si>
  <si>
    <t>Implement programmatic calculation of Age on person tab. DOB is mandatory, we can therefore calculate current age.</t>
  </si>
  <si>
    <t>https://trello.com/c/axwZklWU/69-implement-programmatic-calculation-of-age-on-person-tab-dob-is-mandatory-we-can-therefore-calculate-current-age</t>
  </si>
  <si>
    <t>5e4bac9284742943f5c305bb</t>
  </si>
  <si>
    <t>can't issue the CMP Notice</t>
  </si>
  <si>
    <t>https://trello.com/c/LUwFznYy/108-cant-issue-the-cmp-notice</t>
  </si>
  <si>
    <t>5e4bac7aa01cdb2e7f61eed7</t>
  </si>
  <si>
    <t>empty field @ countries list</t>
  </si>
  <si>
    <t>https://trello.com/c/sv1L7tQc/107-empty-field-countries-list</t>
  </si>
  <si>
    <t>5e68bb248ff2bb0e47b78f8d</t>
  </si>
  <si>
    <t>Make headings on print slips bold</t>
  </si>
  <si>
    <t>https://trello.com/c/9TFCm7fI/188-make-headings-on-print-slips-bold</t>
  </si>
  <si>
    <t>5e4b9bb1d23e5a6bdb148c84</t>
  </si>
  <si>
    <t>Issue the Notices from the charge Catalogue.@Error Message : Unable to retrieve a 341, 56 &amp; CMP notices</t>
  </si>
  <si>
    <t>https://trello.com/c/pXI9lkXD/103-issue-the-notices-from-the-charge-catalogueerror-message-unable-to-retrieve-a-341-56-cmp-notices</t>
  </si>
  <si>
    <t>5e4bbd4345f217790480437d</t>
  </si>
  <si>
    <t>Change "Document Type" heading to "Licence Type"</t>
  </si>
  <si>
    <t>https://trello.com/c/OiIdM8Bk/110-change-document-type-heading-to-licence-type</t>
  </si>
  <si>
    <t>5e4d217fdb75a9528c2ce4b1</t>
  </si>
  <si>
    <t>CMP Notice doesn't pull through to the  back-end.</t>
  </si>
  <si>
    <t>https://trello.com/c/NLkVF80E/116-cmp-notice-doesnt-pull-through-to-the-back-end</t>
  </si>
  <si>
    <t>5e7daf6f4e3ae48cce22e9fa</t>
  </si>
  <si>
    <t>Statutory ref of next charge on notice should start on new line</t>
  </si>
  <si>
    <t xml:space="preserve">It currently starts on the NoAG line of previous charge. Example is a 56.
</t>
  </si>
  <si>
    <t>https://trello.com/c/ZCfdj7YM/238-statutory-ref-of-next-charge-on-notice-should-start-on-new-line</t>
  </si>
  <si>
    <t>5e7dada806c3d534eff27a93</t>
  </si>
  <si>
    <t>Speed charge containing meters extra fields</t>
  </si>
  <si>
    <t>https://trello.com/c/Elq68jJt/237-speed-charge-containing-meters-extra-fields</t>
  </si>
  <si>
    <t>5e7cb3e44c6cdc6f76349d61</t>
  </si>
  <si>
    <t>Multiple charge select on CMP followup no longer working</t>
  </si>
  <si>
    <t>https://trello.com/c/EZCChZ5s/236-multiple-charge-select-on-cmp-followup-no-longer-working</t>
  </si>
  <si>
    <t>Set status 'flagged' to notices that return error code 409</t>
  </si>
  <si>
    <t>https://trello.com/c/suxPbzpy/197-set-status-flagged-to-notices-that-return-error-code-409</t>
  </si>
  <si>
    <t>5e7db3fdbcede47721b956c9</t>
  </si>
  <si>
    <t>Create Trello management tool</t>
  </si>
  <si>
    <t>https://trello.com/c/9FWpd4NN/239-create-trello-management-tool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</si>
</sst>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tint="4.9989318521683403E-2"/>
      <name val="Calibri"/>
      <family val="2"/>
      <scheme val="minor"/>
    </font>
    <font>
      <sz val="11"/>
      <color theme="1" tint="4.9989318521683403E-2"/>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20">
    <xf numFmtId="0" fontId="0" fillId="0" borderId="0" xfId="0"/>
    <xf numFmtId="0" fontId="0" fillId="0" borderId="0" xfId="0" applyAlignment="1">
      <alignment wrapText="1"/>
    </xf>
    <xf numFmtId="0" fontId="0" fillId="0" borderId="0" xfId="0" applyNumberFormat="1" applyAlignment="1">
      <alignment wrapText="1"/>
    </xf>
    <xf numFmtId="0" fontId="20" fillId="0" borderId="0" xfId="42" applyNumberFormat="1" applyAlignment="1">
      <alignment wrapText="1"/>
    </xf>
    <xf numFmtId="0" fontId="16" fillId="6" borderId="4" xfId="11" applyFont="1" applyAlignment="1">
      <alignment wrapText="1"/>
    </xf>
    <xf numFmtId="0" fontId="16" fillId="5" borderId="4" xfId="9" applyFont="1" applyAlignment="1">
      <alignment wrapText="1"/>
    </xf>
    <xf numFmtId="0" fontId="16" fillId="8" borderId="8" xfId="15" applyFont="1" applyAlignment="1">
      <alignment wrapText="1"/>
    </xf>
    <xf numFmtId="0" fontId="16" fillId="27" borderId="4" xfId="36" applyFont="1" applyBorder="1" applyAlignment="1">
      <alignment wrapText="1"/>
    </xf>
    <xf numFmtId="0" fontId="16" fillId="30" borderId="4" xfId="39" applyFont="1" applyBorder="1" applyAlignment="1">
      <alignment wrapText="1"/>
    </xf>
    <xf numFmtId="0" fontId="16" fillId="2" borderId="4" xfId="6" applyFont="1" applyBorder="1" applyAlignment="1">
      <alignment wrapText="1"/>
    </xf>
    <xf numFmtId="0" fontId="16" fillId="29" borderId="4" xfId="38" applyFont="1" applyBorder="1" applyAlignment="1">
      <alignment wrapText="1"/>
    </xf>
    <xf numFmtId="0" fontId="9" fillId="5" borderId="4" xfId="9" applyFont="1" applyAlignment="1">
      <alignment wrapText="1"/>
    </xf>
    <xf numFmtId="0" fontId="19" fillId="8" borderId="8" xfId="15" applyFont="1" applyAlignment="1">
      <alignment wrapText="1"/>
    </xf>
    <xf numFmtId="0" fontId="1" fillId="27" borderId="4" xfId="36" applyFont="1" applyBorder="1" applyAlignment="1">
      <alignment wrapText="1"/>
    </xf>
    <xf numFmtId="0" fontId="1" fillId="30" borderId="4" xfId="39" applyFont="1" applyBorder="1" applyAlignment="1">
      <alignment wrapText="1"/>
    </xf>
    <xf numFmtId="0" fontId="6" fillId="2" borderId="4" xfId="6" applyFont="1" applyBorder="1" applyAlignment="1">
      <alignment wrapText="1"/>
    </xf>
    <xf numFmtId="0" fontId="17" fillId="29" borderId="4" xfId="38" applyFont="1" applyBorder="1" applyAlignment="1">
      <alignment wrapText="1"/>
    </xf>
    <xf numFmtId="0" fontId="18" fillId="6" borderId="4" xfId="11" applyFont="1" applyAlignment="1">
      <alignment wrapText="1"/>
    </xf>
    <xf numFmtId="0" fontId="0" fillId="0" borderId="0" xfId="0" applyAlignment="1"/>
    <xf numFmtId="0" fontId="18" fillId="6" borderId="4" xfId="11"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color theme="5" tint="-0.24994659260841701"/>
      </font>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123825</xdr:colOff>
      <xdr:row>7</xdr:row>
      <xdr:rowOff>123825</xdr:rowOff>
    </xdr:from>
    <xdr:to>
      <xdr:col>7</xdr:col>
      <xdr:colOff>485775</xdr:colOff>
      <xdr:row>10</xdr:row>
      <xdr:rowOff>76201</xdr:rowOff>
    </xdr:to>
    <xdr:sp macro="[0]!RunPythonScript" textlink="">
      <xdr:nvSpPr>
        <xdr:cNvPr id="2" name="Rectangle: Rounded Corners 1">
          <a:extLst>
            <a:ext uri="{FF2B5EF4-FFF2-40B4-BE49-F238E27FC236}">
              <a16:creationId xmlns:a16="http://schemas.microsoft.com/office/drawing/2014/main" id="{2F7F0222-5A68-4ED4-B1FE-AAED8CDB5AC5}"/>
            </a:ext>
          </a:extLst>
        </xdr:cNvPr>
        <xdr:cNvSpPr/>
      </xdr:nvSpPr>
      <xdr:spPr>
        <a:xfrm>
          <a:off x="3171825" y="1647825"/>
          <a:ext cx="1676400"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ZA" sz="800">
            <a:latin typeface="+mn-lt"/>
          </a:endParaRPr>
        </a:p>
        <a:p>
          <a:pPr algn="ctr"/>
          <a:r>
            <a:rPr lang="en-ZA" sz="1200">
              <a:latin typeface="+mn-lt"/>
            </a:rPr>
            <a:t>Update Data</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143FAAA-D411-4B06-A620-D8BABD7E200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056FD3-78AC-4B63-A25D-52B4A43D1C42}" name="data_file_2" displayName="data_file_2" ref="A1:F236" tableType="queryTable" totalsRowShown="0" headerRowDxfId="8" dataDxfId="7">
  <autoFilter ref="A1:F236" xr:uid="{A99CC387-B7EA-46F7-BF36-476E8B9338D3}"/>
  <tableColumns count="6">
    <tableColumn id="1" xr3:uid="{A7332DB1-61D4-4B36-B6CF-5A0B9FA8744E}" uniqueName="1" name="Column1" queryTableFieldId="1" dataDxfId="5"/>
    <tableColumn id="2" xr3:uid="{91A739BD-8D54-4457-918F-F4C0C18CEFC8}" uniqueName="2" name="Column2" queryTableFieldId="2" dataDxfId="4"/>
    <tableColumn id="3" xr3:uid="{00B2E800-8934-494B-9D2B-5A6268CCA00E}" uniqueName="3" name="Column3" queryTableFieldId="3" dataDxfId="3"/>
    <tableColumn id="4" xr3:uid="{597E1A1C-B246-4043-8F48-08CE119C281F}" uniqueName="4" name="Column4" queryTableFieldId="4" dataDxfId="2"/>
    <tableColumn id="5" xr3:uid="{A25ECC3A-4071-4B65-B67C-22BD15FB0510}" uniqueName="5" name="Column5" queryTableFieldId="5" dataDxfId="1"/>
    <tableColumn id="6" xr3:uid="{91F5E14E-DC5B-47AD-B821-9FF74CDBA5EB}" uniqueName="6" name="Column6" queryTableFieldId="6"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D12BC-7E68-47A7-9728-1379C46BDF40}">
  <sheetPr codeName="Sheet3"/>
  <dimension ref="A1:F236"/>
  <sheetViews>
    <sheetView workbookViewId="0">
      <selection sqref="A1:F236"/>
    </sheetView>
  </sheetViews>
  <sheetFormatPr defaultRowHeight="15" x14ac:dyDescent="0.25"/>
  <cols>
    <col min="1" max="1" width="26.85546875" style="1" bestFit="1" customWidth="1"/>
    <col min="2" max="2" width="11.140625" style="1" bestFit="1" customWidth="1"/>
    <col min="3" max="4" width="81.140625" style="1" bestFit="1" customWidth="1"/>
    <col min="5" max="5" width="53.85546875" style="1" bestFit="1" customWidth="1"/>
    <col min="6" max="6" width="81.140625" style="1" bestFit="1" customWidth="1"/>
    <col min="10" max="10" width="10.7109375" customWidth="1"/>
    <col min="11" max="11" width="8.5703125" customWidth="1"/>
    <col min="13" max="13" width="11" customWidth="1"/>
  </cols>
  <sheetData>
    <row r="1" spans="1:6" x14ac:dyDescent="0.25">
      <c r="A1" s="1" t="s">
        <v>13</v>
      </c>
      <c r="B1" s="1" t="s">
        <v>14</v>
      </c>
      <c r="C1" s="1" t="s">
        <v>15</v>
      </c>
      <c r="D1" s="1" t="s">
        <v>16</v>
      </c>
      <c r="E1" s="1" t="s">
        <v>17</v>
      </c>
      <c r="F1" s="1" t="s">
        <v>18</v>
      </c>
    </row>
    <row r="2" spans="1:6" x14ac:dyDescent="0.25">
      <c r="A2" s="2" t="s">
        <v>19</v>
      </c>
      <c r="B2" s="2" t="s">
        <v>20</v>
      </c>
      <c r="C2" s="2" t="s">
        <v>21</v>
      </c>
      <c r="D2" s="2" t="s">
        <v>22</v>
      </c>
      <c r="E2" s="2" t="s">
        <v>23</v>
      </c>
      <c r="F2" s="2" t="s">
        <v>24</v>
      </c>
    </row>
    <row r="3" spans="1:6" x14ac:dyDescent="0.25">
      <c r="A3" s="2" t="s">
        <v>29</v>
      </c>
      <c r="B3" s="2" t="s">
        <v>0</v>
      </c>
      <c r="C3" s="2" t="s">
        <v>30</v>
      </c>
      <c r="D3" s="2" t="s">
        <v>31</v>
      </c>
      <c r="E3" s="2" t="s">
        <v>32</v>
      </c>
      <c r="F3" s="2" t="s">
        <v>33</v>
      </c>
    </row>
    <row r="4" spans="1:6" ht="30" x14ac:dyDescent="0.25">
      <c r="A4" s="2" t="s">
        <v>34</v>
      </c>
      <c r="B4" s="2" t="s">
        <v>0</v>
      </c>
      <c r="C4" s="2" t="s">
        <v>35</v>
      </c>
      <c r="D4" s="2" t="s">
        <v>31</v>
      </c>
      <c r="E4" s="2" t="s">
        <v>32</v>
      </c>
      <c r="F4" s="2" t="s">
        <v>36</v>
      </c>
    </row>
    <row r="5" spans="1:6" ht="30" x14ac:dyDescent="0.25">
      <c r="A5" s="2" t="s">
        <v>37</v>
      </c>
      <c r="B5" s="2" t="s">
        <v>0</v>
      </c>
      <c r="C5" s="2" t="s">
        <v>38</v>
      </c>
      <c r="D5" s="2" t="s">
        <v>31</v>
      </c>
      <c r="E5" s="2" t="s">
        <v>32</v>
      </c>
      <c r="F5" s="3" t="s">
        <v>39</v>
      </c>
    </row>
    <row r="6" spans="1:6" ht="90" x14ac:dyDescent="0.25">
      <c r="A6" s="2" t="s">
        <v>25</v>
      </c>
      <c r="B6" s="2" t="s">
        <v>0</v>
      </c>
      <c r="C6" s="2" t="s">
        <v>0</v>
      </c>
      <c r="D6" s="2" t="s">
        <v>26</v>
      </c>
      <c r="E6" s="2" t="s">
        <v>32</v>
      </c>
      <c r="F6" s="2" t="s">
        <v>28</v>
      </c>
    </row>
    <row r="7" spans="1:6" ht="30" x14ac:dyDescent="0.25">
      <c r="A7" s="2" t="s">
        <v>40</v>
      </c>
      <c r="B7" s="2" t="s">
        <v>0</v>
      </c>
      <c r="C7" s="2" t="s">
        <v>41</v>
      </c>
      <c r="D7" s="2" t="s">
        <v>31</v>
      </c>
      <c r="E7" s="2" t="s">
        <v>32</v>
      </c>
      <c r="F7" s="2" t="s">
        <v>42</v>
      </c>
    </row>
    <row r="8" spans="1:6" ht="30" x14ac:dyDescent="0.25">
      <c r="A8" s="2" t="s">
        <v>43</v>
      </c>
      <c r="B8" s="2" t="s">
        <v>0</v>
      </c>
      <c r="C8" s="2" t="s">
        <v>44</v>
      </c>
      <c r="D8" s="2" t="s">
        <v>31</v>
      </c>
      <c r="E8" s="2" t="s">
        <v>32</v>
      </c>
      <c r="F8" s="2" t="s">
        <v>45</v>
      </c>
    </row>
    <row r="9" spans="1:6" x14ac:dyDescent="0.25">
      <c r="A9" s="2" t="s">
        <v>46</v>
      </c>
      <c r="B9" s="2" t="s">
        <v>0</v>
      </c>
      <c r="C9" s="2" t="s">
        <v>47</v>
      </c>
      <c r="D9" s="2" t="s">
        <v>48</v>
      </c>
      <c r="E9" s="2" t="s">
        <v>32</v>
      </c>
      <c r="F9" s="2" t="s">
        <v>49</v>
      </c>
    </row>
    <row r="10" spans="1:6" ht="30" x14ac:dyDescent="0.25">
      <c r="A10" s="2" t="s">
        <v>50</v>
      </c>
      <c r="B10" s="2" t="s">
        <v>0</v>
      </c>
      <c r="C10" s="2" t="s">
        <v>51</v>
      </c>
      <c r="D10" s="2" t="s">
        <v>31</v>
      </c>
      <c r="E10" s="2" t="s">
        <v>32</v>
      </c>
      <c r="F10" s="2" t="s">
        <v>52</v>
      </c>
    </row>
    <row r="11" spans="1:6" x14ac:dyDescent="0.25">
      <c r="A11" s="2" t="s">
        <v>53</v>
      </c>
      <c r="B11" s="2" t="s">
        <v>0</v>
      </c>
      <c r="C11" s="2" t="s">
        <v>54</v>
      </c>
      <c r="D11" s="2" t="s">
        <v>31</v>
      </c>
      <c r="E11" s="2" t="s">
        <v>32</v>
      </c>
      <c r="F11" s="2" t="s">
        <v>55</v>
      </c>
    </row>
    <row r="12" spans="1:6" ht="30" x14ac:dyDescent="0.25">
      <c r="A12" s="2" t="s">
        <v>56</v>
      </c>
      <c r="B12" s="2" t="s">
        <v>0</v>
      </c>
      <c r="C12" s="2" t="s">
        <v>57</v>
      </c>
      <c r="D12" s="2" t="s">
        <v>58</v>
      </c>
      <c r="E12" s="2" t="s">
        <v>32</v>
      </c>
      <c r="F12" s="2" t="s">
        <v>59</v>
      </c>
    </row>
    <row r="13" spans="1:6" x14ac:dyDescent="0.25">
      <c r="A13" s="2" t="s">
        <v>60</v>
      </c>
      <c r="B13" s="2" t="s">
        <v>0</v>
      </c>
      <c r="C13" s="2" t="s">
        <v>61</v>
      </c>
      <c r="D13" s="2" t="s">
        <v>31</v>
      </c>
      <c r="E13" s="2" t="s">
        <v>62</v>
      </c>
      <c r="F13" s="2" t="s">
        <v>63</v>
      </c>
    </row>
    <row r="14" spans="1:6" x14ac:dyDescent="0.25">
      <c r="A14" s="2" t="s">
        <v>64</v>
      </c>
      <c r="B14" s="2" t="s">
        <v>0</v>
      </c>
      <c r="C14" s="2" t="s">
        <v>65</v>
      </c>
      <c r="D14" s="2" t="s">
        <v>31</v>
      </c>
      <c r="E14" s="2" t="s">
        <v>32</v>
      </c>
      <c r="F14" s="2" t="s">
        <v>66</v>
      </c>
    </row>
    <row r="15" spans="1:6" x14ac:dyDescent="0.25">
      <c r="A15" s="2" t="s">
        <v>67</v>
      </c>
      <c r="B15" s="2" t="s">
        <v>0</v>
      </c>
      <c r="C15" s="2" t="s">
        <v>68</v>
      </c>
      <c r="D15" s="2" t="s">
        <v>31</v>
      </c>
      <c r="E15" s="2" t="s">
        <v>32</v>
      </c>
      <c r="F15" s="2" t="s">
        <v>69</v>
      </c>
    </row>
    <row r="16" spans="1:6" ht="30" x14ac:dyDescent="0.25">
      <c r="A16" s="2" t="s">
        <v>70</v>
      </c>
      <c r="B16" s="2" t="s">
        <v>0</v>
      </c>
      <c r="C16" s="2" t="s">
        <v>71</v>
      </c>
      <c r="D16" s="2" t="s">
        <v>72</v>
      </c>
      <c r="E16" s="2" t="s">
        <v>27</v>
      </c>
      <c r="F16" s="2" t="s">
        <v>73</v>
      </c>
    </row>
    <row r="17" spans="1:6" ht="30" x14ac:dyDescent="0.25">
      <c r="A17" s="2" t="s">
        <v>74</v>
      </c>
      <c r="B17" s="2" t="s">
        <v>0</v>
      </c>
      <c r="C17" s="2" t="s">
        <v>75</v>
      </c>
      <c r="D17" s="2" t="s">
        <v>31</v>
      </c>
      <c r="E17" s="2" t="s">
        <v>32</v>
      </c>
      <c r="F17" s="2" t="s">
        <v>76</v>
      </c>
    </row>
    <row r="18" spans="1:6" x14ac:dyDescent="0.25">
      <c r="A18" s="2" t="s">
        <v>77</v>
      </c>
      <c r="B18" s="2" t="s">
        <v>0</v>
      </c>
      <c r="C18" s="2" t="s">
        <v>78</v>
      </c>
      <c r="D18" s="2" t="s">
        <v>31</v>
      </c>
      <c r="E18" s="2" t="s">
        <v>32</v>
      </c>
      <c r="F18" s="2" t="s">
        <v>79</v>
      </c>
    </row>
    <row r="19" spans="1:6" ht="30" x14ac:dyDescent="0.25">
      <c r="A19" s="2" t="s">
        <v>80</v>
      </c>
      <c r="B19" s="2" t="s">
        <v>0</v>
      </c>
      <c r="C19" s="2" t="s">
        <v>81</v>
      </c>
      <c r="D19" s="2" t="s">
        <v>82</v>
      </c>
      <c r="E19" s="2" t="s">
        <v>27</v>
      </c>
      <c r="F19" s="2" t="s">
        <v>83</v>
      </c>
    </row>
    <row r="20" spans="1:6" ht="30" x14ac:dyDescent="0.25">
      <c r="A20" s="2" t="s">
        <v>84</v>
      </c>
      <c r="B20" s="2" t="s">
        <v>0</v>
      </c>
      <c r="C20" s="2" t="s">
        <v>85</v>
      </c>
      <c r="D20" s="2" t="s">
        <v>31</v>
      </c>
      <c r="E20" s="2" t="s">
        <v>32</v>
      </c>
      <c r="F20" s="2" t="s">
        <v>86</v>
      </c>
    </row>
    <row r="21" spans="1:6" ht="30" x14ac:dyDescent="0.25">
      <c r="A21" s="2" t="s">
        <v>87</v>
      </c>
      <c r="B21" s="2" t="s">
        <v>0</v>
      </c>
      <c r="C21" s="2" t="s">
        <v>88</v>
      </c>
      <c r="D21" s="2" t="s">
        <v>31</v>
      </c>
      <c r="E21" s="2" t="s">
        <v>32</v>
      </c>
      <c r="F21" s="2" t="s">
        <v>89</v>
      </c>
    </row>
    <row r="22" spans="1:6" ht="30" x14ac:dyDescent="0.25">
      <c r="A22" s="2" t="s">
        <v>90</v>
      </c>
      <c r="B22" s="2" t="s">
        <v>0</v>
      </c>
      <c r="C22" s="2" t="s">
        <v>91</v>
      </c>
      <c r="D22" s="2" t="s">
        <v>92</v>
      </c>
      <c r="E22" s="2" t="s">
        <v>32</v>
      </c>
      <c r="F22" s="2" t="s">
        <v>93</v>
      </c>
    </row>
    <row r="23" spans="1:6" x14ac:dyDescent="0.25">
      <c r="A23" s="2" t="s">
        <v>94</v>
      </c>
      <c r="B23" s="2" t="s">
        <v>31</v>
      </c>
      <c r="C23" s="2" t="s">
        <v>95</v>
      </c>
      <c r="D23" s="2" t="s">
        <v>31</v>
      </c>
      <c r="E23" s="2" t="s">
        <v>32</v>
      </c>
      <c r="F23" s="2" t="s">
        <v>96</v>
      </c>
    </row>
    <row r="24" spans="1:6" x14ac:dyDescent="0.25">
      <c r="A24" s="2" t="s">
        <v>97</v>
      </c>
      <c r="B24" s="2" t="s">
        <v>31</v>
      </c>
      <c r="C24" s="2" t="s">
        <v>98</v>
      </c>
      <c r="D24" s="2" t="s">
        <v>99</v>
      </c>
      <c r="E24" s="2" t="s">
        <v>32</v>
      </c>
      <c r="F24" s="2" t="s">
        <v>100</v>
      </c>
    </row>
    <row r="25" spans="1:6" ht="45" x14ac:dyDescent="0.25">
      <c r="A25" s="2" t="s">
        <v>101</v>
      </c>
      <c r="B25" s="2" t="s">
        <v>1</v>
      </c>
      <c r="C25" s="2" t="s">
        <v>1</v>
      </c>
      <c r="D25" s="2" t="s">
        <v>102</v>
      </c>
      <c r="E25" s="2" t="s">
        <v>32</v>
      </c>
      <c r="F25" s="2" t="s">
        <v>103</v>
      </c>
    </row>
    <row r="26" spans="1:6" ht="45" x14ac:dyDescent="0.25">
      <c r="A26" s="2" t="s">
        <v>788</v>
      </c>
      <c r="B26" s="2" t="s">
        <v>1</v>
      </c>
      <c r="C26" s="2" t="s">
        <v>789</v>
      </c>
      <c r="D26" s="2" t="s">
        <v>790</v>
      </c>
      <c r="E26" s="2" t="s">
        <v>27</v>
      </c>
      <c r="F26" s="2" t="s">
        <v>791</v>
      </c>
    </row>
    <row r="27" spans="1:6" x14ac:dyDescent="0.25">
      <c r="A27" s="2" t="s">
        <v>104</v>
      </c>
      <c r="B27" s="2" t="s">
        <v>1</v>
      </c>
      <c r="C27" s="2" t="s">
        <v>105</v>
      </c>
      <c r="D27" s="2" t="s">
        <v>31</v>
      </c>
      <c r="E27" s="2" t="s">
        <v>27</v>
      </c>
      <c r="F27" s="2" t="s">
        <v>106</v>
      </c>
    </row>
    <row r="28" spans="1:6" x14ac:dyDescent="0.25">
      <c r="A28" s="2" t="s">
        <v>107</v>
      </c>
      <c r="B28" s="2" t="s">
        <v>1</v>
      </c>
      <c r="C28" s="2" t="s">
        <v>108</v>
      </c>
      <c r="D28" s="2" t="s">
        <v>109</v>
      </c>
      <c r="E28" s="2" t="s">
        <v>32</v>
      </c>
      <c r="F28" s="2" t="s">
        <v>110</v>
      </c>
    </row>
    <row r="29" spans="1:6" x14ac:dyDescent="0.25">
      <c r="A29" s="2" t="s">
        <v>111</v>
      </c>
      <c r="B29" s="2" t="s">
        <v>1</v>
      </c>
      <c r="C29" s="2" t="s">
        <v>112</v>
      </c>
      <c r="D29" s="2" t="s">
        <v>31</v>
      </c>
      <c r="E29" s="2" t="s">
        <v>27</v>
      </c>
      <c r="F29" s="2" t="s">
        <v>113</v>
      </c>
    </row>
    <row r="30" spans="1:6" ht="30" x14ac:dyDescent="0.25">
      <c r="A30" s="2" t="s">
        <v>114</v>
      </c>
      <c r="B30" s="2" t="s">
        <v>1</v>
      </c>
      <c r="C30" s="2" t="s">
        <v>115</v>
      </c>
      <c r="D30" s="2" t="s">
        <v>31</v>
      </c>
      <c r="E30" s="2" t="s">
        <v>32</v>
      </c>
      <c r="F30" s="2" t="s">
        <v>116</v>
      </c>
    </row>
    <row r="31" spans="1:6" ht="30" x14ac:dyDescent="0.25">
      <c r="A31" s="2" t="s">
        <v>120</v>
      </c>
      <c r="B31" s="2" t="s">
        <v>1</v>
      </c>
      <c r="C31" s="2" t="s">
        <v>121</v>
      </c>
      <c r="D31" s="2" t="s">
        <v>31</v>
      </c>
      <c r="E31" s="2" t="s">
        <v>32</v>
      </c>
      <c r="F31" s="2" t="s">
        <v>122</v>
      </c>
    </row>
    <row r="32" spans="1:6" ht="75" x14ac:dyDescent="0.25">
      <c r="A32" s="2" t="s">
        <v>123</v>
      </c>
      <c r="B32" s="2" t="s">
        <v>1</v>
      </c>
      <c r="C32" s="2" t="s">
        <v>124</v>
      </c>
      <c r="D32" s="2" t="s">
        <v>125</v>
      </c>
      <c r="E32" s="2" t="s">
        <v>126</v>
      </c>
      <c r="F32" s="2" t="s">
        <v>127</v>
      </c>
    </row>
    <row r="33" spans="1:6" ht="30" x14ac:dyDescent="0.25">
      <c r="A33" s="2" t="s">
        <v>128</v>
      </c>
      <c r="B33" s="2" t="s">
        <v>1</v>
      </c>
      <c r="C33" s="2" t="s">
        <v>129</v>
      </c>
      <c r="D33" s="2" t="s">
        <v>31</v>
      </c>
      <c r="E33" s="2" t="s">
        <v>32</v>
      </c>
      <c r="F33" s="2" t="s">
        <v>130</v>
      </c>
    </row>
    <row r="34" spans="1:6" ht="45" x14ac:dyDescent="0.25">
      <c r="A34" s="2" t="s">
        <v>131</v>
      </c>
      <c r="B34" s="2" t="s">
        <v>1</v>
      </c>
      <c r="C34" s="2" t="s">
        <v>132</v>
      </c>
      <c r="D34" s="2" t="s">
        <v>133</v>
      </c>
      <c r="E34" s="2" t="s">
        <v>134</v>
      </c>
      <c r="F34" s="2" t="s">
        <v>135</v>
      </c>
    </row>
    <row r="35" spans="1:6" ht="30" x14ac:dyDescent="0.25">
      <c r="A35" s="2" t="s">
        <v>136</v>
      </c>
      <c r="B35" s="2" t="s">
        <v>1</v>
      </c>
      <c r="C35" s="2" t="s">
        <v>137</v>
      </c>
      <c r="D35" s="2" t="s">
        <v>31</v>
      </c>
      <c r="E35" s="2" t="s">
        <v>32</v>
      </c>
      <c r="F35" s="2" t="s">
        <v>138</v>
      </c>
    </row>
    <row r="36" spans="1:6" ht="30" x14ac:dyDescent="0.25">
      <c r="A36" s="2" t="s">
        <v>139</v>
      </c>
      <c r="B36" s="2" t="s">
        <v>1</v>
      </c>
      <c r="C36" s="2" t="s">
        <v>140</v>
      </c>
      <c r="D36" s="2" t="s">
        <v>31</v>
      </c>
      <c r="E36" s="2" t="s">
        <v>134</v>
      </c>
      <c r="F36" s="2" t="s">
        <v>141</v>
      </c>
    </row>
    <row r="37" spans="1:6" ht="30" x14ac:dyDescent="0.25">
      <c r="A37" s="2" t="s">
        <v>142</v>
      </c>
      <c r="B37" s="2" t="s">
        <v>1</v>
      </c>
      <c r="C37" s="2" t="s">
        <v>143</v>
      </c>
      <c r="D37" s="2" t="s">
        <v>144</v>
      </c>
      <c r="E37" s="2" t="s">
        <v>126</v>
      </c>
      <c r="F37" s="2" t="s">
        <v>145</v>
      </c>
    </row>
    <row r="38" spans="1:6" x14ac:dyDescent="0.25">
      <c r="A38" s="2" t="s">
        <v>146</v>
      </c>
      <c r="B38" s="2" t="s">
        <v>1</v>
      </c>
      <c r="C38" s="2" t="s">
        <v>147</v>
      </c>
      <c r="D38" s="2" t="s">
        <v>31</v>
      </c>
      <c r="E38" s="2" t="s">
        <v>134</v>
      </c>
      <c r="F38" s="2" t="s">
        <v>148</v>
      </c>
    </row>
    <row r="39" spans="1:6" x14ac:dyDescent="0.25">
      <c r="A39" s="2" t="s">
        <v>149</v>
      </c>
      <c r="B39" s="2" t="s">
        <v>1</v>
      </c>
      <c r="C39" s="2" t="s">
        <v>150</v>
      </c>
      <c r="D39" s="2" t="s">
        <v>31</v>
      </c>
      <c r="E39" s="2" t="s">
        <v>126</v>
      </c>
      <c r="F39" s="2" t="s">
        <v>151</v>
      </c>
    </row>
    <row r="40" spans="1:6" ht="45" x14ac:dyDescent="0.25">
      <c r="A40" s="2" t="s">
        <v>152</v>
      </c>
      <c r="B40" s="2" t="s">
        <v>1</v>
      </c>
      <c r="C40" s="2" t="s">
        <v>153</v>
      </c>
      <c r="D40" s="2" t="s">
        <v>154</v>
      </c>
      <c r="E40" s="2" t="s">
        <v>32</v>
      </c>
      <c r="F40" s="2" t="s">
        <v>155</v>
      </c>
    </row>
    <row r="41" spans="1:6" ht="30" x14ac:dyDescent="0.25">
      <c r="A41" s="2" t="s">
        <v>156</v>
      </c>
      <c r="B41" s="2" t="s">
        <v>1</v>
      </c>
      <c r="C41" s="2" t="s">
        <v>157</v>
      </c>
      <c r="D41" s="2" t="s">
        <v>31</v>
      </c>
      <c r="E41" s="2" t="s">
        <v>126</v>
      </c>
      <c r="F41" s="2" t="s">
        <v>158</v>
      </c>
    </row>
    <row r="42" spans="1:6" ht="30" x14ac:dyDescent="0.25">
      <c r="A42" s="2" t="s">
        <v>159</v>
      </c>
      <c r="B42" s="2" t="s">
        <v>1</v>
      </c>
      <c r="C42" s="2" t="s">
        <v>160</v>
      </c>
      <c r="D42" s="2" t="s">
        <v>31</v>
      </c>
      <c r="E42" s="2" t="s">
        <v>27</v>
      </c>
      <c r="F42" s="2" t="s">
        <v>161</v>
      </c>
    </row>
    <row r="43" spans="1:6" x14ac:dyDescent="0.25">
      <c r="A43" s="2" t="s">
        <v>162</v>
      </c>
      <c r="B43" s="2" t="s">
        <v>1</v>
      </c>
      <c r="C43" s="2" t="s">
        <v>163</v>
      </c>
      <c r="D43" s="2" t="s">
        <v>31</v>
      </c>
      <c r="E43" s="2" t="s">
        <v>27</v>
      </c>
      <c r="F43" s="2" t="s">
        <v>164</v>
      </c>
    </row>
    <row r="44" spans="1:6" ht="30" x14ac:dyDescent="0.25">
      <c r="A44" s="2" t="s">
        <v>165</v>
      </c>
      <c r="B44" s="2" t="s">
        <v>1</v>
      </c>
      <c r="C44" s="2" t="s">
        <v>166</v>
      </c>
      <c r="D44" s="2" t="s">
        <v>31</v>
      </c>
      <c r="E44" s="2" t="s">
        <v>27</v>
      </c>
      <c r="F44" s="2" t="s">
        <v>167</v>
      </c>
    </row>
    <row r="45" spans="1:6" ht="30" x14ac:dyDescent="0.25">
      <c r="A45" s="2" t="s">
        <v>174</v>
      </c>
      <c r="B45" s="2" t="s">
        <v>1</v>
      </c>
      <c r="C45" s="2" t="s">
        <v>175</v>
      </c>
      <c r="D45" s="2" t="s">
        <v>31</v>
      </c>
      <c r="E45" s="2" t="s">
        <v>126</v>
      </c>
      <c r="F45" s="2" t="s">
        <v>176</v>
      </c>
    </row>
    <row r="46" spans="1:6" ht="45" x14ac:dyDescent="0.25">
      <c r="A46" s="2" t="s">
        <v>177</v>
      </c>
      <c r="B46" s="2" t="s">
        <v>1</v>
      </c>
      <c r="C46" s="2" t="s">
        <v>178</v>
      </c>
      <c r="D46" s="2" t="s">
        <v>31</v>
      </c>
      <c r="E46" s="2" t="s">
        <v>32</v>
      </c>
      <c r="F46" s="2" t="s">
        <v>179</v>
      </c>
    </row>
    <row r="47" spans="1:6" ht="45" x14ac:dyDescent="0.25">
      <c r="A47" s="2" t="s">
        <v>180</v>
      </c>
      <c r="B47" s="2" t="s">
        <v>1</v>
      </c>
      <c r="C47" s="2" t="s">
        <v>181</v>
      </c>
      <c r="D47" s="2" t="s">
        <v>182</v>
      </c>
      <c r="E47" s="2" t="s">
        <v>134</v>
      </c>
      <c r="F47" s="2" t="s">
        <v>183</v>
      </c>
    </row>
    <row r="48" spans="1:6" ht="30" x14ac:dyDescent="0.25">
      <c r="A48" s="2" t="s">
        <v>286</v>
      </c>
      <c r="B48" s="2" t="s">
        <v>1</v>
      </c>
      <c r="C48" s="2" t="s">
        <v>287</v>
      </c>
      <c r="D48" s="2" t="s">
        <v>288</v>
      </c>
      <c r="E48" s="2" t="s">
        <v>126</v>
      </c>
      <c r="F48" s="2" t="s">
        <v>289</v>
      </c>
    </row>
    <row r="49" spans="1:6" ht="30" x14ac:dyDescent="0.25">
      <c r="A49" s="2" t="s">
        <v>184</v>
      </c>
      <c r="B49" s="2" t="s">
        <v>1</v>
      </c>
      <c r="C49" s="2" t="s">
        <v>185</v>
      </c>
      <c r="D49" s="2" t="s">
        <v>31</v>
      </c>
      <c r="E49" s="2" t="s">
        <v>186</v>
      </c>
      <c r="F49" s="2" t="s">
        <v>187</v>
      </c>
    </row>
    <row r="50" spans="1:6" ht="30" x14ac:dyDescent="0.25">
      <c r="A50" s="2" t="s">
        <v>188</v>
      </c>
      <c r="B50" s="2" t="s">
        <v>1</v>
      </c>
      <c r="C50" s="2" t="s">
        <v>189</v>
      </c>
      <c r="D50" s="2" t="s">
        <v>31</v>
      </c>
      <c r="E50" s="2" t="s">
        <v>126</v>
      </c>
      <c r="F50" s="2" t="s">
        <v>190</v>
      </c>
    </row>
    <row r="51" spans="1:6" ht="30" x14ac:dyDescent="0.25">
      <c r="A51" s="2" t="s">
        <v>168</v>
      </c>
      <c r="B51" s="2" t="s">
        <v>1</v>
      </c>
      <c r="C51" s="2" t="s">
        <v>169</v>
      </c>
      <c r="D51" s="2" t="s">
        <v>31</v>
      </c>
      <c r="E51" s="2" t="s">
        <v>27</v>
      </c>
      <c r="F51" s="2" t="s">
        <v>170</v>
      </c>
    </row>
    <row r="52" spans="1:6" ht="30" x14ac:dyDescent="0.25">
      <c r="A52" s="2" t="s">
        <v>171</v>
      </c>
      <c r="B52" s="2" t="s">
        <v>1</v>
      </c>
      <c r="C52" s="2" t="s">
        <v>172</v>
      </c>
      <c r="D52" s="2" t="s">
        <v>31</v>
      </c>
      <c r="E52" s="2" t="s">
        <v>27</v>
      </c>
      <c r="F52" s="2" t="s">
        <v>173</v>
      </c>
    </row>
    <row r="53" spans="1:6" ht="30" x14ac:dyDescent="0.25">
      <c r="A53" s="2" t="s">
        <v>117</v>
      </c>
      <c r="B53" s="2" t="s">
        <v>1</v>
      </c>
      <c r="C53" s="2" t="s">
        <v>118</v>
      </c>
      <c r="D53" s="2" t="s">
        <v>31</v>
      </c>
      <c r="E53" s="2" t="s">
        <v>27</v>
      </c>
      <c r="F53" s="2" t="s">
        <v>119</v>
      </c>
    </row>
    <row r="54" spans="1:6" ht="105" x14ac:dyDescent="0.25">
      <c r="A54" s="2" t="s">
        <v>191</v>
      </c>
      <c r="B54" s="2" t="s">
        <v>2</v>
      </c>
      <c r="C54" s="2" t="s">
        <v>2</v>
      </c>
      <c r="D54" s="2" t="s">
        <v>192</v>
      </c>
      <c r="E54" s="2" t="s">
        <v>32</v>
      </c>
      <c r="F54" s="2" t="s">
        <v>193</v>
      </c>
    </row>
    <row r="55" spans="1:6" x14ac:dyDescent="0.25">
      <c r="A55" s="2" t="s">
        <v>792</v>
      </c>
      <c r="B55" s="2" t="s">
        <v>2</v>
      </c>
      <c r="C55" s="2" t="s">
        <v>793</v>
      </c>
      <c r="D55" s="2" t="s">
        <v>31</v>
      </c>
      <c r="E55" s="2" t="s">
        <v>27</v>
      </c>
      <c r="F55" s="2" t="s">
        <v>794</v>
      </c>
    </row>
    <row r="56" spans="1:6" x14ac:dyDescent="0.25">
      <c r="A56" s="2" t="s">
        <v>194</v>
      </c>
      <c r="B56" s="2" t="s">
        <v>2</v>
      </c>
      <c r="C56" s="2" t="s">
        <v>195</v>
      </c>
      <c r="D56" s="2" t="s">
        <v>31</v>
      </c>
      <c r="E56" s="2" t="s">
        <v>27</v>
      </c>
      <c r="F56" s="2" t="s">
        <v>196</v>
      </c>
    </row>
    <row r="57" spans="1:6" x14ac:dyDescent="0.25">
      <c r="A57" s="2" t="s">
        <v>197</v>
      </c>
      <c r="B57" s="2" t="s">
        <v>2</v>
      </c>
      <c r="C57" s="2" t="s">
        <v>198</v>
      </c>
      <c r="D57" s="2" t="s">
        <v>31</v>
      </c>
      <c r="E57" s="2" t="s">
        <v>27</v>
      </c>
      <c r="F57" s="2" t="s">
        <v>199</v>
      </c>
    </row>
    <row r="58" spans="1:6" ht="30" x14ac:dyDescent="0.25">
      <c r="A58" s="2" t="s">
        <v>200</v>
      </c>
      <c r="B58" s="2" t="s">
        <v>2</v>
      </c>
      <c r="C58" s="2" t="s">
        <v>201</v>
      </c>
      <c r="D58" s="2" t="s">
        <v>31</v>
      </c>
      <c r="E58" s="2" t="s">
        <v>27</v>
      </c>
      <c r="F58" s="2" t="s">
        <v>202</v>
      </c>
    </row>
    <row r="59" spans="1:6" ht="120" x14ac:dyDescent="0.25">
      <c r="A59" s="2" t="s">
        <v>203</v>
      </c>
      <c r="B59" s="2" t="s">
        <v>2</v>
      </c>
      <c r="C59" s="2" t="s">
        <v>204</v>
      </c>
      <c r="D59" s="2" t="s">
        <v>205</v>
      </c>
      <c r="E59" s="2" t="s">
        <v>27</v>
      </c>
      <c r="F59" s="2" t="s">
        <v>206</v>
      </c>
    </row>
    <row r="60" spans="1:6" ht="30" x14ac:dyDescent="0.25">
      <c r="A60" s="2" t="s">
        <v>207</v>
      </c>
      <c r="B60" s="2" t="s">
        <v>2</v>
      </c>
      <c r="C60" s="2" t="s">
        <v>208</v>
      </c>
      <c r="D60" s="2" t="s">
        <v>31</v>
      </c>
      <c r="E60" s="2" t="s">
        <v>126</v>
      </c>
      <c r="F60" s="2" t="s">
        <v>209</v>
      </c>
    </row>
    <row r="61" spans="1:6" ht="30" x14ac:dyDescent="0.25">
      <c r="A61" s="2" t="s">
        <v>210</v>
      </c>
      <c r="B61" s="2" t="s">
        <v>2</v>
      </c>
      <c r="C61" s="2" t="s">
        <v>211</v>
      </c>
      <c r="D61" s="2" t="s">
        <v>212</v>
      </c>
      <c r="E61" s="2" t="s">
        <v>213</v>
      </c>
      <c r="F61" s="2" t="s">
        <v>214</v>
      </c>
    </row>
    <row r="62" spans="1:6" ht="30" x14ac:dyDescent="0.25">
      <c r="A62" s="2" t="s">
        <v>215</v>
      </c>
      <c r="B62" s="2" t="s">
        <v>2</v>
      </c>
      <c r="C62" s="2" t="s">
        <v>216</v>
      </c>
      <c r="D62" s="2" t="s">
        <v>212</v>
      </c>
      <c r="E62" s="2" t="s">
        <v>213</v>
      </c>
      <c r="F62" s="2" t="s">
        <v>217</v>
      </c>
    </row>
    <row r="63" spans="1:6" ht="30" x14ac:dyDescent="0.25">
      <c r="A63" s="2" t="s">
        <v>218</v>
      </c>
      <c r="B63" s="2" t="s">
        <v>2</v>
      </c>
      <c r="C63" s="2" t="s">
        <v>219</v>
      </c>
      <c r="D63" s="2" t="s">
        <v>31</v>
      </c>
      <c r="E63" s="2" t="s">
        <v>126</v>
      </c>
      <c r="F63" s="2" t="s">
        <v>220</v>
      </c>
    </row>
    <row r="64" spans="1:6" ht="30" x14ac:dyDescent="0.25">
      <c r="A64" s="2" t="s">
        <v>221</v>
      </c>
      <c r="B64" s="2" t="s">
        <v>2</v>
      </c>
      <c r="C64" s="2" t="s">
        <v>222</v>
      </c>
      <c r="D64" s="2" t="s">
        <v>31</v>
      </c>
      <c r="E64" s="2" t="s">
        <v>126</v>
      </c>
      <c r="F64" s="2" t="s">
        <v>223</v>
      </c>
    </row>
    <row r="65" spans="1:6" ht="90" x14ac:dyDescent="0.25">
      <c r="A65" s="2" t="s">
        <v>224</v>
      </c>
      <c r="B65" s="2" t="s">
        <v>2</v>
      </c>
      <c r="C65" s="2" t="s">
        <v>225</v>
      </c>
      <c r="D65" s="2" t="s">
        <v>226</v>
      </c>
      <c r="E65" s="2" t="s">
        <v>126</v>
      </c>
      <c r="F65" s="2" t="s">
        <v>227</v>
      </c>
    </row>
    <row r="66" spans="1:6" x14ac:dyDescent="0.25">
      <c r="A66" s="2" t="s">
        <v>228</v>
      </c>
      <c r="B66" s="2" t="s">
        <v>2</v>
      </c>
      <c r="C66" s="2" t="s">
        <v>229</v>
      </c>
      <c r="D66" s="2" t="s">
        <v>31</v>
      </c>
      <c r="E66" s="2" t="s">
        <v>126</v>
      </c>
      <c r="F66" s="2" t="s">
        <v>230</v>
      </c>
    </row>
    <row r="67" spans="1:6" x14ac:dyDescent="0.25">
      <c r="A67" s="2" t="s">
        <v>231</v>
      </c>
      <c r="B67" s="2" t="s">
        <v>2</v>
      </c>
      <c r="C67" s="2" t="s">
        <v>232</v>
      </c>
      <c r="D67" s="2" t="s">
        <v>31</v>
      </c>
      <c r="E67" s="2" t="s">
        <v>134</v>
      </c>
      <c r="F67" s="2" t="s">
        <v>233</v>
      </c>
    </row>
    <row r="68" spans="1:6" ht="30" x14ac:dyDescent="0.25">
      <c r="A68" s="2" t="s">
        <v>234</v>
      </c>
      <c r="B68" s="2" t="s">
        <v>2</v>
      </c>
      <c r="C68" s="2" t="s">
        <v>235</v>
      </c>
      <c r="D68" s="2" t="s">
        <v>31</v>
      </c>
      <c r="E68" s="2" t="s">
        <v>134</v>
      </c>
      <c r="F68" s="2" t="s">
        <v>236</v>
      </c>
    </row>
    <row r="69" spans="1:6" ht="45" x14ac:dyDescent="0.25">
      <c r="A69" s="2" t="s">
        <v>237</v>
      </c>
      <c r="B69" s="2" t="s">
        <v>2</v>
      </c>
      <c r="C69" s="2" t="s">
        <v>238</v>
      </c>
      <c r="D69" s="2" t="s">
        <v>31</v>
      </c>
      <c r="E69" s="2" t="s">
        <v>126</v>
      </c>
      <c r="F69" s="2" t="s">
        <v>239</v>
      </c>
    </row>
    <row r="70" spans="1:6" ht="30" x14ac:dyDescent="0.25">
      <c r="A70" s="2" t="s">
        <v>240</v>
      </c>
      <c r="B70" s="2" t="s">
        <v>2</v>
      </c>
      <c r="C70" s="2" t="s">
        <v>241</v>
      </c>
      <c r="D70" s="2" t="s">
        <v>31</v>
      </c>
      <c r="E70" s="2" t="s">
        <v>126</v>
      </c>
      <c r="F70" s="2" t="s">
        <v>242</v>
      </c>
    </row>
    <row r="71" spans="1:6" ht="30" x14ac:dyDescent="0.25">
      <c r="A71" s="2" t="s">
        <v>243</v>
      </c>
      <c r="B71" s="2" t="s">
        <v>2</v>
      </c>
      <c r="C71" s="2" t="s">
        <v>244</v>
      </c>
      <c r="D71" s="2" t="s">
        <v>31</v>
      </c>
      <c r="E71" s="2" t="s">
        <v>126</v>
      </c>
      <c r="F71" s="2" t="s">
        <v>245</v>
      </c>
    </row>
    <row r="72" spans="1:6" ht="45" x14ac:dyDescent="0.25">
      <c r="A72" s="2" t="s">
        <v>246</v>
      </c>
      <c r="B72" s="2" t="s">
        <v>2</v>
      </c>
      <c r="C72" s="2" t="s">
        <v>247</v>
      </c>
      <c r="D72" s="2" t="s">
        <v>248</v>
      </c>
      <c r="E72" s="2" t="s">
        <v>126</v>
      </c>
      <c r="F72" s="2" t="s">
        <v>249</v>
      </c>
    </row>
    <row r="73" spans="1:6" x14ac:dyDescent="0.25">
      <c r="A73" s="2" t="s">
        <v>250</v>
      </c>
      <c r="B73" s="2" t="s">
        <v>2</v>
      </c>
      <c r="C73" s="2" t="s">
        <v>251</v>
      </c>
      <c r="D73" s="2" t="s">
        <v>252</v>
      </c>
      <c r="E73" s="2" t="s">
        <v>32</v>
      </c>
      <c r="F73" s="2" t="s">
        <v>253</v>
      </c>
    </row>
    <row r="74" spans="1:6" ht="30" x14ac:dyDescent="0.25">
      <c r="A74" s="2" t="s">
        <v>795</v>
      </c>
      <c r="B74" s="2" t="s">
        <v>2</v>
      </c>
      <c r="C74" s="2" t="s">
        <v>796</v>
      </c>
      <c r="D74" s="2" t="s">
        <v>31</v>
      </c>
      <c r="E74" s="2" t="s">
        <v>126</v>
      </c>
      <c r="F74" s="2" t="s">
        <v>797</v>
      </c>
    </row>
    <row r="75" spans="1:6" ht="75" x14ac:dyDescent="0.25">
      <c r="A75" s="2" t="s">
        <v>254</v>
      </c>
      <c r="B75" s="2" t="s">
        <v>255</v>
      </c>
      <c r="C75" s="2" t="s">
        <v>12</v>
      </c>
      <c r="D75" s="2" t="s">
        <v>256</v>
      </c>
      <c r="E75" s="2" t="s">
        <v>32</v>
      </c>
      <c r="F75" s="2" t="s">
        <v>257</v>
      </c>
    </row>
    <row r="76" spans="1:6" ht="30" x14ac:dyDescent="0.25">
      <c r="A76" s="2" t="s">
        <v>258</v>
      </c>
      <c r="B76" s="2" t="s">
        <v>255</v>
      </c>
      <c r="C76" s="2" t="s">
        <v>259</v>
      </c>
      <c r="D76" s="2" t="s">
        <v>31</v>
      </c>
      <c r="E76" s="2" t="s">
        <v>126</v>
      </c>
      <c r="F76" s="2" t="s">
        <v>260</v>
      </c>
    </row>
    <row r="77" spans="1:6" ht="30" x14ac:dyDescent="0.25">
      <c r="A77" s="2" t="s">
        <v>311</v>
      </c>
      <c r="B77" s="2" t="s">
        <v>255</v>
      </c>
      <c r="C77" s="2" t="s">
        <v>312</v>
      </c>
      <c r="D77" s="2" t="s">
        <v>31</v>
      </c>
      <c r="E77" s="2" t="s">
        <v>126</v>
      </c>
      <c r="F77" s="2" t="s">
        <v>313</v>
      </c>
    </row>
    <row r="78" spans="1:6" ht="75" x14ac:dyDescent="0.25">
      <c r="A78" s="2" t="s">
        <v>373</v>
      </c>
      <c r="B78" s="2" t="s">
        <v>255</v>
      </c>
      <c r="C78" s="2" t="s">
        <v>374</v>
      </c>
      <c r="D78" s="2" t="s">
        <v>31</v>
      </c>
      <c r="E78" s="2" t="s">
        <v>126</v>
      </c>
      <c r="F78" s="2" t="s">
        <v>375</v>
      </c>
    </row>
    <row r="79" spans="1:6" ht="30" x14ac:dyDescent="0.25">
      <c r="A79" s="2" t="s">
        <v>317</v>
      </c>
      <c r="B79" s="2" t="s">
        <v>255</v>
      </c>
      <c r="C79" s="2" t="s">
        <v>318</v>
      </c>
      <c r="D79" s="2" t="s">
        <v>31</v>
      </c>
      <c r="E79" s="2" t="s">
        <v>126</v>
      </c>
      <c r="F79" s="2" t="s">
        <v>319</v>
      </c>
    </row>
    <row r="80" spans="1:6" ht="30" x14ac:dyDescent="0.25">
      <c r="A80" s="2" t="s">
        <v>290</v>
      </c>
      <c r="B80" s="2" t="s">
        <v>255</v>
      </c>
      <c r="C80" s="2" t="s">
        <v>291</v>
      </c>
      <c r="D80" s="2" t="s">
        <v>31</v>
      </c>
      <c r="E80" s="2" t="s">
        <v>126</v>
      </c>
      <c r="F80" s="2" t="s">
        <v>292</v>
      </c>
    </row>
    <row r="81" spans="1:6" ht="30" x14ac:dyDescent="0.25">
      <c r="A81" s="2" t="s">
        <v>293</v>
      </c>
      <c r="B81" s="2" t="s">
        <v>255</v>
      </c>
      <c r="C81" s="2" t="s">
        <v>294</v>
      </c>
      <c r="D81" s="2" t="s">
        <v>31</v>
      </c>
      <c r="E81" s="2" t="s">
        <v>126</v>
      </c>
      <c r="F81" s="2" t="s">
        <v>295</v>
      </c>
    </row>
    <row r="82" spans="1:6" ht="30" x14ac:dyDescent="0.25">
      <c r="A82" s="2" t="s">
        <v>296</v>
      </c>
      <c r="B82" s="2" t="s">
        <v>255</v>
      </c>
      <c r="C82" s="2" t="s">
        <v>297</v>
      </c>
      <c r="D82" s="2" t="s">
        <v>298</v>
      </c>
      <c r="E82" s="2" t="s">
        <v>126</v>
      </c>
      <c r="F82" s="2" t="s">
        <v>299</v>
      </c>
    </row>
    <row r="83" spans="1:6" ht="90" x14ac:dyDescent="0.25">
      <c r="A83" s="2" t="s">
        <v>300</v>
      </c>
      <c r="B83" s="2" t="s">
        <v>3</v>
      </c>
      <c r="C83" s="2" t="s">
        <v>301</v>
      </c>
      <c r="D83" s="2" t="s">
        <v>302</v>
      </c>
      <c r="E83" s="2" t="s">
        <v>32</v>
      </c>
      <c r="F83" s="2" t="s">
        <v>303</v>
      </c>
    </row>
    <row r="84" spans="1:6" x14ac:dyDescent="0.25">
      <c r="A84" s="2" t="s">
        <v>304</v>
      </c>
      <c r="B84" s="2" t="s">
        <v>3</v>
      </c>
      <c r="C84" s="2" t="s">
        <v>305</v>
      </c>
      <c r="D84" s="2" t="s">
        <v>31</v>
      </c>
      <c r="E84" s="2" t="s">
        <v>32</v>
      </c>
      <c r="F84" s="2" t="s">
        <v>306</v>
      </c>
    </row>
    <row r="85" spans="1:6" ht="45" x14ac:dyDescent="0.25">
      <c r="A85" s="2" t="s">
        <v>307</v>
      </c>
      <c r="B85" s="2" t="s">
        <v>3</v>
      </c>
      <c r="C85" s="2" t="s">
        <v>308</v>
      </c>
      <c r="D85" s="2" t="s">
        <v>309</v>
      </c>
      <c r="E85" s="2" t="s">
        <v>27</v>
      </c>
      <c r="F85" s="2" t="s">
        <v>310</v>
      </c>
    </row>
    <row r="86" spans="1:6" ht="30" x14ac:dyDescent="0.25">
      <c r="A86" s="2" t="s">
        <v>314</v>
      </c>
      <c r="B86" s="2" t="s">
        <v>3</v>
      </c>
      <c r="C86" s="2" t="s">
        <v>315</v>
      </c>
      <c r="D86" s="2" t="s">
        <v>31</v>
      </c>
      <c r="E86" s="2" t="s">
        <v>126</v>
      </c>
      <c r="F86" s="2" t="s">
        <v>316</v>
      </c>
    </row>
    <row r="87" spans="1:6" ht="30" x14ac:dyDescent="0.25">
      <c r="A87" s="2" t="s">
        <v>269</v>
      </c>
      <c r="B87" s="2" t="s">
        <v>3</v>
      </c>
      <c r="C87" s="2" t="s">
        <v>270</v>
      </c>
      <c r="D87" s="2" t="s">
        <v>271</v>
      </c>
      <c r="E87" s="2" t="s">
        <v>27</v>
      </c>
      <c r="F87" s="2" t="s">
        <v>272</v>
      </c>
    </row>
    <row r="88" spans="1:6" x14ac:dyDescent="0.25">
      <c r="A88" s="2" t="s">
        <v>280</v>
      </c>
      <c r="B88" s="2" t="s">
        <v>3</v>
      </c>
      <c r="C88" s="2" t="s">
        <v>281</v>
      </c>
      <c r="D88" s="2" t="s">
        <v>31</v>
      </c>
      <c r="E88" s="2" t="s">
        <v>27</v>
      </c>
      <c r="F88" s="2" t="s">
        <v>282</v>
      </c>
    </row>
    <row r="89" spans="1:6" ht="30" x14ac:dyDescent="0.25">
      <c r="A89" s="2" t="s">
        <v>277</v>
      </c>
      <c r="B89" s="2" t="s">
        <v>3</v>
      </c>
      <c r="C89" s="2" t="s">
        <v>278</v>
      </c>
      <c r="D89" s="2" t="s">
        <v>31</v>
      </c>
      <c r="E89" s="2" t="s">
        <v>27</v>
      </c>
      <c r="F89" s="2" t="s">
        <v>279</v>
      </c>
    </row>
    <row r="90" spans="1:6" ht="90" x14ac:dyDescent="0.25">
      <c r="A90" s="2" t="s">
        <v>273</v>
      </c>
      <c r="B90" s="2" t="s">
        <v>3</v>
      </c>
      <c r="C90" s="2" t="s">
        <v>274</v>
      </c>
      <c r="D90" s="2" t="s">
        <v>275</v>
      </c>
      <c r="E90" s="2" t="s">
        <v>27</v>
      </c>
      <c r="F90" s="2" t="s">
        <v>276</v>
      </c>
    </row>
    <row r="91" spans="1:6" ht="30" x14ac:dyDescent="0.25">
      <c r="A91" s="2" t="s">
        <v>261</v>
      </c>
      <c r="B91" s="2" t="s">
        <v>3</v>
      </c>
      <c r="C91" s="2" t="s">
        <v>262</v>
      </c>
      <c r="D91" s="2" t="s">
        <v>263</v>
      </c>
      <c r="E91" s="2" t="s">
        <v>264</v>
      </c>
      <c r="F91" s="2" t="s">
        <v>265</v>
      </c>
    </row>
    <row r="92" spans="1:6" ht="30" x14ac:dyDescent="0.25">
      <c r="A92" s="2" t="s">
        <v>283</v>
      </c>
      <c r="B92" s="2" t="s">
        <v>3</v>
      </c>
      <c r="C92" s="2" t="s">
        <v>284</v>
      </c>
      <c r="D92" s="2" t="s">
        <v>31</v>
      </c>
      <c r="E92" s="2" t="s">
        <v>126</v>
      </c>
      <c r="F92" s="2" t="s">
        <v>285</v>
      </c>
    </row>
    <row r="93" spans="1:6" ht="30" x14ac:dyDescent="0.25">
      <c r="A93" s="2" t="s">
        <v>266</v>
      </c>
      <c r="B93" s="2" t="s">
        <v>3</v>
      </c>
      <c r="C93" s="2" t="s">
        <v>267</v>
      </c>
      <c r="D93" s="2" t="s">
        <v>31</v>
      </c>
      <c r="E93" s="2" t="s">
        <v>27</v>
      </c>
      <c r="F93" s="2" t="s">
        <v>268</v>
      </c>
    </row>
    <row r="94" spans="1:6" ht="30" x14ac:dyDescent="0.25">
      <c r="A94" s="2" t="s">
        <v>320</v>
      </c>
      <c r="B94" s="2" t="s">
        <v>3</v>
      </c>
      <c r="C94" s="2" t="s">
        <v>321</v>
      </c>
      <c r="D94" s="2" t="s">
        <v>31</v>
      </c>
      <c r="E94" s="2" t="s">
        <v>27</v>
      </c>
      <c r="F94" s="2" t="s">
        <v>322</v>
      </c>
    </row>
    <row r="95" spans="1:6" ht="30" x14ac:dyDescent="0.25">
      <c r="A95" s="2" t="s">
        <v>323</v>
      </c>
      <c r="B95" s="2" t="s">
        <v>3</v>
      </c>
      <c r="C95" s="2" t="s">
        <v>324</v>
      </c>
      <c r="D95" s="2" t="s">
        <v>325</v>
      </c>
      <c r="E95" s="2" t="s">
        <v>27</v>
      </c>
      <c r="F95" s="2" t="s">
        <v>326</v>
      </c>
    </row>
    <row r="96" spans="1:6" ht="30" x14ac:dyDescent="0.25">
      <c r="A96" s="2" t="s">
        <v>327</v>
      </c>
      <c r="B96" s="2" t="s">
        <v>3</v>
      </c>
      <c r="C96" s="2" t="s">
        <v>798</v>
      </c>
      <c r="D96" s="2" t="s">
        <v>31</v>
      </c>
      <c r="E96" s="2" t="s">
        <v>186</v>
      </c>
      <c r="F96" s="2" t="s">
        <v>799</v>
      </c>
    </row>
    <row r="97" spans="1:6" x14ac:dyDescent="0.25">
      <c r="A97" s="2" t="s">
        <v>328</v>
      </c>
      <c r="B97" s="2" t="s">
        <v>3</v>
      </c>
      <c r="C97" s="2" t="s">
        <v>329</v>
      </c>
      <c r="D97" s="2" t="s">
        <v>31</v>
      </c>
      <c r="E97" s="2" t="s">
        <v>27</v>
      </c>
      <c r="F97" s="2" t="s">
        <v>330</v>
      </c>
    </row>
    <row r="98" spans="1:6" ht="30" x14ac:dyDescent="0.25">
      <c r="A98" s="2" t="s">
        <v>331</v>
      </c>
      <c r="B98" s="2" t="s">
        <v>3</v>
      </c>
      <c r="C98" s="2" t="s">
        <v>332</v>
      </c>
      <c r="D98" s="2" t="s">
        <v>31</v>
      </c>
      <c r="E98" s="2" t="s">
        <v>333</v>
      </c>
      <c r="F98" s="2" t="s">
        <v>334</v>
      </c>
    </row>
    <row r="99" spans="1:6" ht="30" x14ac:dyDescent="0.25">
      <c r="A99" s="2" t="s">
        <v>335</v>
      </c>
      <c r="B99" s="2" t="s">
        <v>3</v>
      </c>
      <c r="C99" s="2" t="s">
        <v>336</v>
      </c>
      <c r="D99" s="2" t="s">
        <v>31</v>
      </c>
      <c r="E99" s="2" t="s">
        <v>126</v>
      </c>
      <c r="F99" s="2" t="s">
        <v>337</v>
      </c>
    </row>
    <row r="100" spans="1:6" ht="30" x14ac:dyDescent="0.25">
      <c r="A100" s="2" t="s">
        <v>338</v>
      </c>
      <c r="B100" s="2" t="s">
        <v>3</v>
      </c>
      <c r="C100" s="2" t="s">
        <v>339</v>
      </c>
      <c r="D100" s="2" t="s">
        <v>31</v>
      </c>
      <c r="E100" s="2" t="s">
        <v>126</v>
      </c>
      <c r="F100" s="2" t="s">
        <v>340</v>
      </c>
    </row>
    <row r="101" spans="1:6" x14ac:dyDescent="0.25">
      <c r="A101" s="2" t="s">
        <v>341</v>
      </c>
      <c r="B101" s="2" t="s">
        <v>3</v>
      </c>
      <c r="C101" s="2" t="s">
        <v>342</v>
      </c>
      <c r="D101" s="2" t="s">
        <v>31</v>
      </c>
      <c r="E101" s="2" t="s">
        <v>27</v>
      </c>
      <c r="F101" s="2" t="s">
        <v>343</v>
      </c>
    </row>
    <row r="102" spans="1:6" ht="30" x14ac:dyDescent="0.25">
      <c r="A102" s="2" t="s">
        <v>344</v>
      </c>
      <c r="B102" s="2" t="s">
        <v>3</v>
      </c>
      <c r="C102" s="2" t="s">
        <v>345</v>
      </c>
      <c r="D102" s="2" t="s">
        <v>346</v>
      </c>
      <c r="E102" s="2" t="s">
        <v>347</v>
      </c>
      <c r="F102" s="2" t="s">
        <v>348</v>
      </c>
    </row>
    <row r="103" spans="1:6" ht="45" x14ac:dyDescent="0.25">
      <c r="A103" s="2" t="s">
        <v>359</v>
      </c>
      <c r="B103" s="2" t="s">
        <v>3</v>
      </c>
      <c r="C103" s="2" t="s">
        <v>360</v>
      </c>
      <c r="D103" s="2" t="s">
        <v>31</v>
      </c>
      <c r="E103" s="2" t="s">
        <v>27</v>
      </c>
      <c r="F103" s="2" t="s">
        <v>361</v>
      </c>
    </row>
    <row r="104" spans="1:6" ht="135" x14ac:dyDescent="0.25">
      <c r="A104" s="2" t="s">
        <v>362</v>
      </c>
      <c r="B104" s="2" t="s">
        <v>3</v>
      </c>
      <c r="C104" s="2" t="s">
        <v>363</v>
      </c>
      <c r="D104" s="2" t="s">
        <v>364</v>
      </c>
      <c r="E104" s="2" t="s">
        <v>365</v>
      </c>
      <c r="F104" s="2" t="s">
        <v>366</v>
      </c>
    </row>
    <row r="105" spans="1:6" ht="30" x14ac:dyDescent="0.25">
      <c r="A105" s="2" t="s">
        <v>376</v>
      </c>
      <c r="B105" s="2" t="s">
        <v>3</v>
      </c>
      <c r="C105" s="2" t="s">
        <v>377</v>
      </c>
      <c r="D105" s="2" t="s">
        <v>31</v>
      </c>
      <c r="E105" s="2" t="s">
        <v>126</v>
      </c>
      <c r="F105" s="2" t="s">
        <v>378</v>
      </c>
    </row>
    <row r="106" spans="1:6" ht="30" x14ac:dyDescent="0.25">
      <c r="A106" s="2" t="s">
        <v>379</v>
      </c>
      <c r="B106" s="2" t="s">
        <v>3</v>
      </c>
      <c r="C106" s="2" t="s">
        <v>380</v>
      </c>
      <c r="D106" s="2" t="s">
        <v>381</v>
      </c>
      <c r="E106" s="2" t="s">
        <v>382</v>
      </c>
      <c r="F106" s="2" t="s">
        <v>383</v>
      </c>
    </row>
    <row r="107" spans="1:6" x14ac:dyDescent="0.25">
      <c r="A107" s="2" t="s">
        <v>384</v>
      </c>
      <c r="B107" s="2" t="s">
        <v>3</v>
      </c>
      <c r="C107" s="2" t="s">
        <v>385</v>
      </c>
      <c r="D107" s="2" t="s">
        <v>31</v>
      </c>
      <c r="E107" s="2" t="s">
        <v>126</v>
      </c>
      <c r="F107" s="2" t="s">
        <v>386</v>
      </c>
    </row>
    <row r="108" spans="1:6" ht="30" x14ac:dyDescent="0.25">
      <c r="A108" s="2" t="s">
        <v>387</v>
      </c>
      <c r="B108" s="2" t="s">
        <v>3</v>
      </c>
      <c r="C108" s="2" t="s">
        <v>388</v>
      </c>
      <c r="D108" s="2" t="s">
        <v>31</v>
      </c>
      <c r="E108" s="2" t="s">
        <v>126</v>
      </c>
      <c r="F108" s="2" t="s">
        <v>389</v>
      </c>
    </row>
    <row r="109" spans="1:6" ht="30" x14ac:dyDescent="0.25">
      <c r="A109" s="2" t="s">
        <v>390</v>
      </c>
      <c r="B109" s="2" t="s">
        <v>3</v>
      </c>
      <c r="C109" s="2" t="s">
        <v>391</v>
      </c>
      <c r="D109" s="2" t="s">
        <v>31</v>
      </c>
      <c r="E109" s="2" t="s">
        <v>213</v>
      </c>
      <c r="F109" s="2" t="s">
        <v>392</v>
      </c>
    </row>
    <row r="110" spans="1:6" ht="30" x14ac:dyDescent="0.25">
      <c r="A110" s="2" t="s">
        <v>393</v>
      </c>
      <c r="B110" s="2" t="s">
        <v>3</v>
      </c>
      <c r="C110" s="2" t="s">
        <v>394</v>
      </c>
      <c r="D110" s="2" t="s">
        <v>31</v>
      </c>
      <c r="E110" s="2" t="s">
        <v>395</v>
      </c>
      <c r="F110" s="2" t="s">
        <v>396</v>
      </c>
    </row>
    <row r="111" spans="1:6" x14ac:dyDescent="0.25">
      <c r="A111" s="2" t="s">
        <v>397</v>
      </c>
      <c r="B111" s="2" t="s">
        <v>3</v>
      </c>
      <c r="C111" s="2" t="s">
        <v>398</v>
      </c>
      <c r="D111" s="2" t="s">
        <v>31</v>
      </c>
      <c r="E111" s="2" t="s">
        <v>32</v>
      </c>
      <c r="F111" s="2" t="s">
        <v>399</v>
      </c>
    </row>
    <row r="112" spans="1:6" x14ac:dyDescent="0.25">
      <c r="A112" s="2" t="s">
        <v>400</v>
      </c>
      <c r="B112" s="2" t="s">
        <v>3</v>
      </c>
      <c r="C112" s="2" t="s">
        <v>401</v>
      </c>
      <c r="D112" s="2" t="s">
        <v>31</v>
      </c>
      <c r="E112" s="2" t="s">
        <v>365</v>
      </c>
      <c r="F112" s="2" t="s">
        <v>402</v>
      </c>
    </row>
    <row r="113" spans="1:6" ht="30" x14ac:dyDescent="0.25">
      <c r="A113" s="2" t="s">
        <v>403</v>
      </c>
      <c r="B113" s="2" t="s">
        <v>3</v>
      </c>
      <c r="C113" s="2" t="s">
        <v>404</v>
      </c>
      <c r="D113" s="2" t="s">
        <v>31</v>
      </c>
      <c r="E113" s="2" t="s">
        <v>27</v>
      </c>
      <c r="F113" s="2" t="s">
        <v>405</v>
      </c>
    </row>
    <row r="114" spans="1:6" ht="45" x14ac:dyDescent="0.25">
      <c r="A114" s="2" t="s">
        <v>406</v>
      </c>
      <c r="B114" s="2" t="s">
        <v>3</v>
      </c>
      <c r="C114" s="2" t="s">
        <v>407</v>
      </c>
      <c r="D114" s="2" t="s">
        <v>31</v>
      </c>
      <c r="E114" s="2" t="s">
        <v>126</v>
      </c>
      <c r="F114" s="2" t="s">
        <v>408</v>
      </c>
    </row>
    <row r="115" spans="1:6" ht="30" x14ac:dyDescent="0.25">
      <c r="A115" s="2" t="s">
        <v>409</v>
      </c>
      <c r="B115" s="2" t="s">
        <v>3</v>
      </c>
      <c r="C115" s="2" t="s">
        <v>410</v>
      </c>
      <c r="D115" s="2" t="s">
        <v>31</v>
      </c>
      <c r="E115" s="2" t="s">
        <v>126</v>
      </c>
      <c r="F115" s="2" t="s">
        <v>411</v>
      </c>
    </row>
    <row r="116" spans="1:6" x14ac:dyDescent="0.25">
      <c r="A116" s="2" t="s">
        <v>412</v>
      </c>
      <c r="B116" s="2" t="s">
        <v>3</v>
      </c>
      <c r="C116" s="2" t="s">
        <v>413</v>
      </c>
      <c r="D116" s="2" t="s">
        <v>31</v>
      </c>
      <c r="E116" s="2" t="s">
        <v>134</v>
      </c>
      <c r="F116" s="2" t="s">
        <v>414</v>
      </c>
    </row>
    <row r="117" spans="1:6" ht="45" x14ac:dyDescent="0.25">
      <c r="A117" s="2" t="s">
        <v>415</v>
      </c>
      <c r="B117" s="2" t="s">
        <v>3</v>
      </c>
      <c r="C117" s="2" t="s">
        <v>416</v>
      </c>
      <c r="D117" s="2" t="s">
        <v>417</v>
      </c>
      <c r="E117" s="2" t="s">
        <v>134</v>
      </c>
      <c r="F117" s="2" t="s">
        <v>418</v>
      </c>
    </row>
    <row r="118" spans="1:6" ht="45" x14ac:dyDescent="0.25">
      <c r="A118" s="2" t="s">
        <v>419</v>
      </c>
      <c r="B118" s="2" t="s">
        <v>3</v>
      </c>
      <c r="C118" s="2" t="s">
        <v>420</v>
      </c>
      <c r="D118" s="2" t="s">
        <v>421</v>
      </c>
      <c r="E118" s="2" t="s">
        <v>213</v>
      </c>
      <c r="F118" s="2" t="s">
        <v>422</v>
      </c>
    </row>
    <row r="119" spans="1:6" x14ac:dyDescent="0.25">
      <c r="A119" s="2" t="s">
        <v>423</v>
      </c>
      <c r="B119" s="2" t="s">
        <v>3</v>
      </c>
      <c r="C119" s="2" t="s">
        <v>424</v>
      </c>
      <c r="D119" s="2" t="s">
        <v>31</v>
      </c>
      <c r="E119" s="2" t="s">
        <v>27</v>
      </c>
      <c r="F119" s="2" t="s">
        <v>425</v>
      </c>
    </row>
    <row r="120" spans="1:6" x14ac:dyDescent="0.25">
      <c r="A120" s="2" t="s">
        <v>426</v>
      </c>
      <c r="B120" s="2" t="s">
        <v>3</v>
      </c>
      <c r="C120" s="2" t="s">
        <v>427</v>
      </c>
      <c r="D120" s="2" t="s">
        <v>428</v>
      </c>
      <c r="E120" s="2" t="s">
        <v>213</v>
      </c>
      <c r="F120" s="2" t="s">
        <v>429</v>
      </c>
    </row>
    <row r="121" spans="1:6" ht="30" x14ac:dyDescent="0.25">
      <c r="A121" s="2" t="s">
        <v>430</v>
      </c>
      <c r="B121" s="2" t="s">
        <v>3</v>
      </c>
      <c r="C121" s="2" t="s">
        <v>431</v>
      </c>
      <c r="D121" s="2" t="s">
        <v>31</v>
      </c>
      <c r="E121" s="2" t="s">
        <v>134</v>
      </c>
      <c r="F121" s="2" t="s">
        <v>432</v>
      </c>
    </row>
    <row r="122" spans="1:6" ht="30" x14ac:dyDescent="0.25">
      <c r="A122" s="2" t="s">
        <v>433</v>
      </c>
      <c r="B122" s="2" t="s">
        <v>3</v>
      </c>
      <c r="C122" s="2" t="s">
        <v>434</v>
      </c>
      <c r="D122" s="2" t="s">
        <v>31</v>
      </c>
      <c r="E122" s="2" t="s">
        <v>27</v>
      </c>
      <c r="F122" s="2" t="s">
        <v>435</v>
      </c>
    </row>
    <row r="123" spans="1:6" ht="30" x14ac:dyDescent="0.25">
      <c r="A123" s="2" t="s">
        <v>436</v>
      </c>
      <c r="B123" s="2" t="s">
        <v>3</v>
      </c>
      <c r="C123" s="2" t="s">
        <v>437</v>
      </c>
      <c r="D123" s="2" t="s">
        <v>31</v>
      </c>
      <c r="E123" s="2" t="s">
        <v>27</v>
      </c>
      <c r="F123" s="2" t="s">
        <v>438</v>
      </c>
    </row>
    <row r="124" spans="1:6" ht="30" x14ac:dyDescent="0.25">
      <c r="A124" s="2" t="s">
        <v>439</v>
      </c>
      <c r="B124" s="2" t="s">
        <v>3</v>
      </c>
      <c r="C124" s="2" t="s">
        <v>440</v>
      </c>
      <c r="D124" s="2" t="s">
        <v>31</v>
      </c>
      <c r="E124" s="2" t="s">
        <v>27</v>
      </c>
      <c r="F124" s="2" t="s">
        <v>441</v>
      </c>
    </row>
    <row r="125" spans="1:6" ht="210" x14ac:dyDescent="0.25">
      <c r="A125" s="2" t="s">
        <v>442</v>
      </c>
      <c r="B125" s="2" t="s">
        <v>3</v>
      </c>
      <c r="C125" s="2" t="s">
        <v>443</v>
      </c>
      <c r="D125" s="2" t="s">
        <v>444</v>
      </c>
      <c r="E125" s="2" t="s">
        <v>27</v>
      </c>
      <c r="F125" s="2" t="s">
        <v>445</v>
      </c>
    </row>
    <row r="126" spans="1:6" x14ac:dyDescent="0.25">
      <c r="A126" s="2" t="s">
        <v>446</v>
      </c>
      <c r="B126" s="2" t="s">
        <v>3</v>
      </c>
      <c r="C126" s="2" t="s">
        <v>447</v>
      </c>
      <c r="D126" s="2" t="s">
        <v>31</v>
      </c>
      <c r="E126" s="2" t="s">
        <v>126</v>
      </c>
      <c r="F126" s="2" t="s">
        <v>448</v>
      </c>
    </row>
    <row r="127" spans="1:6" ht="30" x14ac:dyDescent="0.25">
      <c r="A127" s="2" t="s">
        <v>449</v>
      </c>
      <c r="B127" s="2" t="s">
        <v>3</v>
      </c>
      <c r="C127" s="2" t="s">
        <v>450</v>
      </c>
      <c r="D127" s="2" t="s">
        <v>31</v>
      </c>
      <c r="E127" s="2" t="s">
        <v>27</v>
      </c>
      <c r="F127" s="2" t="s">
        <v>451</v>
      </c>
    </row>
    <row r="128" spans="1:6" ht="75" x14ac:dyDescent="0.25">
      <c r="A128" s="2" t="s">
        <v>452</v>
      </c>
      <c r="B128" s="2" t="s">
        <v>3</v>
      </c>
      <c r="C128" s="2" t="s">
        <v>453</v>
      </c>
      <c r="D128" s="2" t="s">
        <v>454</v>
      </c>
      <c r="E128" s="2" t="s">
        <v>126</v>
      </c>
      <c r="F128" s="2" t="s">
        <v>455</v>
      </c>
    </row>
    <row r="129" spans="1:6" ht="30" x14ac:dyDescent="0.25">
      <c r="A129" s="2" t="s">
        <v>456</v>
      </c>
      <c r="B129" s="2" t="s">
        <v>3</v>
      </c>
      <c r="C129" s="2" t="s">
        <v>457</v>
      </c>
      <c r="D129" s="2" t="s">
        <v>31</v>
      </c>
      <c r="E129" s="2" t="s">
        <v>126</v>
      </c>
      <c r="F129" s="2" t="s">
        <v>458</v>
      </c>
    </row>
    <row r="130" spans="1:6" ht="120" x14ac:dyDescent="0.25">
      <c r="A130" s="2" t="s">
        <v>459</v>
      </c>
      <c r="B130" s="2" t="s">
        <v>3</v>
      </c>
      <c r="C130" s="2" t="s">
        <v>460</v>
      </c>
      <c r="D130" s="2" t="s">
        <v>461</v>
      </c>
      <c r="E130" s="2" t="s">
        <v>126</v>
      </c>
      <c r="F130" s="2" t="s">
        <v>462</v>
      </c>
    </row>
    <row r="131" spans="1:6" ht="75" x14ac:dyDescent="0.25">
      <c r="A131" s="2" t="s">
        <v>463</v>
      </c>
      <c r="B131" s="2" t="s">
        <v>3</v>
      </c>
      <c r="C131" s="2" t="s">
        <v>464</v>
      </c>
      <c r="D131" s="2" t="s">
        <v>465</v>
      </c>
      <c r="E131" s="2" t="s">
        <v>466</v>
      </c>
      <c r="F131" s="2" t="s">
        <v>467</v>
      </c>
    </row>
    <row r="132" spans="1:6" ht="30" x14ac:dyDescent="0.25">
      <c r="A132" s="2" t="s">
        <v>468</v>
      </c>
      <c r="B132" s="2" t="s">
        <v>3</v>
      </c>
      <c r="C132" s="2" t="s">
        <v>469</v>
      </c>
      <c r="D132" s="2" t="s">
        <v>31</v>
      </c>
      <c r="E132" s="2" t="s">
        <v>134</v>
      </c>
      <c r="F132" s="2" t="s">
        <v>470</v>
      </c>
    </row>
    <row r="133" spans="1:6" ht="30" x14ac:dyDescent="0.25">
      <c r="A133" s="2" t="s">
        <v>471</v>
      </c>
      <c r="B133" s="2" t="s">
        <v>3</v>
      </c>
      <c r="C133" s="2" t="s">
        <v>472</v>
      </c>
      <c r="D133" s="2" t="s">
        <v>31</v>
      </c>
      <c r="E133" s="2" t="s">
        <v>213</v>
      </c>
      <c r="F133" s="2" t="s">
        <v>473</v>
      </c>
    </row>
    <row r="134" spans="1:6" ht="30" x14ac:dyDescent="0.25">
      <c r="A134" s="2" t="s">
        <v>474</v>
      </c>
      <c r="B134" s="2" t="s">
        <v>3</v>
      </c>
      <c r="C134" s="2" t="s">
        <v>475</v>
      </c>
      <c r="D134" s="2" t="s">
        <v>31</v>
      </c>
      <c r="E134" s="2" t="s">
        <v>27</v>
      </c>
      <c r="F134" s="2" t="s">
        <v>476</v>
      </c>
    </row>
    <row r="135" spans="1:6" ht="45" x14ac:dyDescent="0.25">
      <c r="A135" s="2" t="s">
        <v>477</v>
      </c>
      <c r="B135" s="2" t="s">
        <v>3</v>
      </c>
      <c r="C135" s="2" t="s">
        <v>478</v>
      </c>
      <c r="D135" s="2" t="s">
        <v>31</v>
      </c>
      <c r="E135" s="2" t="s">
        <v>126</v>
      </c>
      <c r="F135" s="2" t="s">
        <v>479</v>
      </c>
    </row>
    <row r="136" spans="1:6" ht="30" x14ac:dyDescent="0.25">
      <c r="A136" s="2" t="s">
        <v>480</v>
      </c>
      <c r="B136" s="2" t="s">
        <v>3</v>
      </c>
      <c r="C136" s="2" t="s">
        <v>481</v>
      </c>
      <c r="D136" s="2" t="s">
        <v>31</v>
      </c>
      <c r="E136" s="2" t="s">
        <v>126</v>
      </c>
      <c r="F136" s="2" t="s">
        <v>482</v>
      </c>
    </row>
    <row r="137" spans="1:6" ht="90" x14ac:dyDescent="0.25">
      <c r="A137" s="2" t="s">
        <v>483</v>
      </c>
      <c r="B137" s="2" t="s">
        <v>3</v>
      </c>
      <c r="C137" s="2" t="s">
        <v>484</v>
      </c>
      <c r="D137" s="2" t="s">
        <v>485</v>
      </c>
      <c r="E137" s="2" t="s">
        <v>213</v>
      </c>
      <c r="F137" s="2" t="s">
        <v>486</v>
      </c>
    </row>
    <row r="138" spans="1:6" ht="30" x14ac:dyDescent="0.25">
      <c r="A138" s="2" t="s">
        <v>487</v>
      </c>
      <c r="B138" s="2" t="s">
        <v>3</v>
      </c>
      <c r="C138" s="2" t="s">
        <v>488</v>
      </c>
      <c r="D138" s="2" t="s">
        <v>31</v>
      </c>
      <c r="E138" s="2" t="s">
        <v>27</v>
      </c>
      <c r="F138" s="2" t="s">
        <v>489</v>
      </c>
    </row>
    <row r="139" spans="1:6" x14ac:dyDescent="0.25">
      <c r="A139" s="2" t="s">
        <v>490</v>
      </c>
      <c r="B139" s="2" t="s">
        <v>3</v>
      </c>
      <c r="C139" s="2" t="s">
        <v>491</v>
      </c>
      <c r="D139" s="2" t="s">
        <v>31</v>
      </c>
      <c r="E139" s="2" t="s">
        <v>27</v>
      </c>
      <c r="F139" s="2" t="s">
        <v>492</v>
      </c>
    </row>
    <row r="140" spans="1:6" ht="30" x14ac:dyDescent="0.25">
      <c r="A140" s="2" t="s">
        <v>493</v>
      </c>
      <c r="B140" s="2" t="s">
        <v>3</v>
      </c>
      <c r="C140" s="2" t="s">
        <v>494</v>
      </c>
      <c r="D140" s="2" t="s">
        <v>31</v>
      </c>
      <c r="E140" s="2" t="s">
        <v>27</v>
      </c>
      <c r="F140" s="2" t="s">
        <v>495</v>
      </c>
    </row>
    <row r="141" spans="1:6" ht="30" x14ac:dyDescent="0.25">
      <c r="A141" s="2" t="s">
        <v>496</v>
      </c>
      <c r="B141" s="2" t="s">
        <v>3</v>
      </c>
      <c r="C141" s="2" t="s">
        <v>497</v>
      </c>
      <c r="D141" s="2" t="s">
        <v>31</v>
      </c>
      <c r="E141" s="2" t="s">
        <v>27</v>
      </c>
      <c r="F141" s="2" t="s">
        <v>498</v>
      </c>
    </row>
    <row r="142" spans="1:6" ht="30" x14ac:dyDescent="0.25">
      <c r="A142" s="2" t="s">
        <v>499</v>
      </c>
      <c r="B142" s="2" t="s">
        <v>3</v>
      </c>
      <c r="C142" s="2" t="s">
        <v>500</v>
      </c>
      <c r="D142" s="2" t="s">
        <v>31</v>
      </c>
      <c r="E142" s="2" t="s">
        <v>27</v>
      </c>
      <c r="F142" s="2" t="s">
        <v>501</v>
      </c>
    </row>
    <row r="143" spans="1:6" ht="105" x14ac:dyDescent="0.25">
      <c r="A143" s="2" t="s">
        <v>502</v>
      </c>
      <c r="B143" s="2" t="s">
        <v>3</v>
      </c>
      <c r="C143" s="2" t="s">
        <v>503</v>
      </c>
      <c r="D143" s="2" t="s">
        <v>504</v>
      </c>
      <c r="E143" s="2" t="s">
        <v>27</v>
      </c>
      <c r="F143" s="2" t="s">
        <v>505</v>
      </c>
    </row>
    <row r="144" spans="1:6" x14ac:dyDescent="0.25">
      <c r="A144" s="2" t="s">
        <v>506</v>
      </c>
      <c r="B144" s="2" t="s">
        <v>3</v>
      </c>
      <c r="C144" s="2" t="s">
        <v>507</v>
      </c>
      <c r="D144" s="2" t="s">
        <v>31</v>
      </c>
      <c r="E144" s="2" t="s">
        <v>134</v>
      </c>
      <c r="F144" s="2" t="s">
        <v>508</v>
      </c>
    </row>
    <row r="145" spans="1:6" x14ac:dyDescent="0.25">
      <c r="A145" s="2" t="s">
        <v>509</v>
      </c>
      <c r="B145" s="2" t="s">
        <v>3</v>
      </c>
      <c r="C145" s="2" t="s">
        <v>510</v>
      </c>
      <c r="D145" s="2" t="s">
        <v>31</v>
      </c>
      <c r="E145" s="2" t="s">
        <v>134</v>
      </c>
      <c r="F145" s="2" t="s">
        <v>511</v>
      </c>
    </row>
    <row r="146" spans="1:6" x14ac:dyDescent="0.25">
      <c r="A146" s="2" t="s">
        <v>512</v>
      </c>
      <c r="B146" s="2" t="s">
        <v>3</v>
      </c>
      <c r="C146" s="2" t="s">
        <v>513</v>
      </c>
      <c r="D146" s="2" t="s">
        <v>31</v>
      </c>
      <c r="E146" s="2" t="s">
        <v>134</v>
      </c>
      <c r="F146" s="2" t="s">
        <v>514</v>
      </c>
    </row>
    <row r="147" spans="1:6" ht="30" x14ac:dyDescent="0.25">
      <c r="A147" s="2" t="s">
        <v>515</v>
      </c>
      <c r="B147" s="2" t="s">
        <v>3</v>
      </c>
      <c r="C147" s="2" t="s">
        <v>516</v>
      </c>
      <c r="D147" s="2" t="s">
        <v>31</v>
      </c>
      <c r="E147" s="2" t="s">
        <v>62</v>
      </c>
      <c r="F147" s="2" t="s">
        <v>517</v>
      </c>
    </row>
    <row r="148" spans="1:6" ht="30" x14ac:dyDescent="0.25">
      <c r="A148" s="2" t="s">
        <v>518</v>
      </c>
      <c r="B148" s="2" t="s">
        <v>3</v>
      </c>
      <c r="C148" s="2" t="s">
        <v>519</v>
      </c>
      <c r="D148" s="2" t="s">
        <v>31</v>
      </c>
      <c r="E148" s="2" t="s">
        <v>134</v>
      </c>
      <c r="F148" s="2" t="s">
        <v>520</v>
      </c>
    </row>
    <row r="149" spans="1:6" ht="30" x14ac:dyDescent="0.25">
      <c r="A149" s="2" t="s">
        <v>521</v>
      </c>
      <c r="B149" s="2" t="s">
        <v>3</v>
      </c>
      <c r="C149" s="2" t="s">
        <v>522</v>
      </c>
      <c r="D149" s="2" t="s">
        <v>523</v>
      </c>
      <c r="E149" s="2" t="s">
        <v>32</v>
      </c>
      <c r="F149" s="2" t="s">
        <v>524</v>
      </c>
    </row>
    <row r="150" spans="1:6" ht="30" x14ac:dyDescent="0.25">
      <c r="A150" s="2" t="s">
        <v>525</v>
      </c>
      <c r="B150" s="2" t="s">
        <v>3</v>
      </c>
      <c r="C150" s="2" t="s">
        <v>526</v>
      </c>
      <c r="D150" s="2" t="s">
        <v>31</v>
      </c>
      <c r="E150" s="2" t="s">
        <v>27</v>
      </c>
      <c r="F150" s="2" t="s">
        <v>527</v>
      </c>
    </row>
    <row r="151" spans="1:6" x14ac:dyDescent="0.25">
      <c r="A151" s="2" t="s">
        <v>528</v>
      </c>
      <c r="B151" s="2" t="s">
        <v>3</v>
      </c>
      <c r="C151" s="2" t="s">
        <v>529</v>
      </c>
      <c r="D151" s="2" t="s">
        <v>31</v>
      </c>
      <c r="E151" s="2" t="s">
        <v>62</v>
      </c>
      <c r="F151" s="2" t="s">
        <v>530</v>
      </c>
    </row>
    <row r="152" spans="1:6" ht="30" x14ac:dyDescent="0.25">
      <c r="A152" s="2" t="s">
        <v>531</v>
      </c>
      <c r="B152" s="2" t="s">
        <v>3</v>
      </c>
      <c r="C152" s="2" t="s">
        <v>532</v>
      </c>
      <c r="D152" s="2" t="s">
        <v>31</v>
      </c>
      <c r="E152" s="2" t="s">
        <v>27</v>
      </c>
      <c r="F152" s="2" t="s">
        <v>533</v>
      </c>
    </row>
    <row r="153" spans="1:6" x14ac:dyDescent="0.25">
      <c r="A153" s="2" t="s">
        <v>534</v>
      </c>
      <c r="B153" s="2" t="s">
        <v>3</v>
      </c>
      <c r="C153" s="2" t="s">
        <v>535</v>
      </c>
      <c r="D153" s="2" t="s">
        <v>31</v>
      </c>
      <c r="E153" s="2" t="s">
        <v>27</v>
      </c>
      <c r="F153" s="2" t="s">
        <v>536</v>
      </c>
    </row>
    <row r="154" spans="1:6" x14ac:dyDescent="0.25">
      <c r="A154" s="2" t="s">
        <v>537</v>
      </c>
      <c r="B154" s="2" t="s">
        <v>3</v>
      </c>
      <c r="C154" s="2" t="s">
        <v>538</v>
      </c>
      <c r="D154" s="2" t="s">
        <v>31</v>
      </c>
      <c r="E154" s="2" t="s">
        <v>27</v>
      </c>
      <c r="F154" s="2" t="s">
        <v>539</v>
      </c>
    </row>
    <row r="155" spans="1:6" ht="30" x14ac:dyDescent="0.25">
      <c r="A155" s="2" t="s">
        <v>540</v>
      </c>
      <c r="B155" s="2" t="s">
        <v>3</v>
      </c>
      <c r="C155" s="2" t="s">
        <v>541</v>
      </c>
      <c r="D155" s="2" t="s">
        <v>31</v>
      </c>
      <c r="E155" s="2" t="s">
        <v>126</v>
      </c>
      <c r="F155" s="2" t="s">
        <v>542</v>
      </c>
    </row>
    <row r="156" spans="1:6" ht="30" x14ac:dyDescent="0.25">
      <c r="A156" s="2" t="s">
        <v>543</v>
      </c>
      <c r="B156" s="2" t="s">
        <v>3</v>
      </c>
      <c r="C156" s="2" t="s">
        <v>544</v>
      </c>
      <c r="D156" s="2" t="s">
        <v>31</v>
      </c>
      <c r="E156" s="2" t="s">
        <v>126</v>
      </c>
      <c r="F156" s="2" t="s">
        <v>545</v>
      </c>
    </row>
    <row r="157" spans="1:6" x14ac:dyDescent="0.25">
      <c r="A157" s="2" t="s">
        <v>546</v>
      </c>
      <c r="B157" s="2" t="s">
        <v>3</v>
      </c>
      <c r="C157" s="2" t="s">
        <v>547</v>
      </c>
      <c r="D157" s="2" t="s">
        <v>31</v>
      </c>
      <c r="E157" s="2" t="s">
        <v>27</v>
      </c>
      <c r="F157" s="2" t="s">
        <v>548</v>
      </c>
    </row>
    <row r="158" spans="1:6" x14ac:dyDescent="0.25">
      <c r="A158" s="2" t="s">
        <v>549</v>
      </c>
      <c r="B158" s="2" t="s">
        <v>3</v>
      </c>
      <c r="C158" s="2" t="s">
        <v>550</v>
      </c>
      <c r="D158" s="2" t="s">
        <v>31</v>
      </c>
      <c r="E158" s="2" t="s">
        <v>126</v>
      </c>
      <c r="F158" s="2" t="s">
        <v>551</v>
      </c>
    </row>
    <row r="159" spans="1:6" ht="30" x14ac:dyDescent="0.25">
      <c r="A159" s="2" t="s">
        <v>552</v>
      </c>
      <c r="B159" s="2" t="s">
        <v>3</v>
      </c>
      <c r="C159" s="2" t="s">
        <v>553</v>
      </c>
      <c r="D159" s="2" t="s">
        <v>554</v>
      </c>
      <c r="E159" s="2" t="s">
        <v>27</v>
      </c>
      <c r="F159" s="2" t="s">
        <v>555</v>
      </c>
    </row>
    <row r="160" spans="1:6" x14ac:dyDescent="0.25">
      <c r="A160" s="2" t="s">
        <v>556</v>
      </c>
      <c r="B160" s="2" t="s">
        <v>3</v>
      </c>
      <c r="C160" s="2" t="s">
        <v>557</v>
      </c>
      <c r="D160" s="2" t="s">
        <v>31</v>
      </c>
      <c r="E160" s="2" t="s">
        <v>126</v>
      </c>
      <c r="F160" s="2" t="s">
        <v>558</v>
      </c>
    </row>
    <row r="161" spans="1:6" ht="30" x14ac:dyDescent="0.25">
      <c r="A161" s="2" t="s">
        <v>559</v>
      </c>
      <c r="B161" s="2" t="s">
        <v>3</v>
      </c>
      <c r="C161" s="2" t="s">
        <v>560</v>
      </c>
      <c r="D161" s="2" t="s">
        <v>561</v>
      </c>
      <c r="E161" s="2" t="s">
        <v>27</v>
      </c>
      <c r="F161" s="2" t="s">
        <v>562</v>
      </c>
    </row>
    <row r="162" spans="1:6" ht="60" x14ac:dyDescent="0.25">
      <c r="A162" s="2" t="s">
        <v>563</v>
      </c>
      <c r="B162" s="2" t="s">
        <v>3</v>
      </c>
      <c r="C162" s="2" t="s">
        <v>564</v>
      </c>
      <c r="D162" s="2" t="s">
        <v>565</v>
      </c>
      <c r="E162" s="2" t="s">
        <v>566</v>
      </c>
      <c r="F162" s="2" t="s">
        <v>567</v>
      </c>
    </row>
    <row r="163" spans="1:6" x14ac:dyDescent="0.25">
      <c r="A163" s="2" t="s">
        <v>568</v>
      </c>
      <c r="B163" s="2" t="s">
        <v>3</v>
      </c>
      <c r="C163" s="2" t="s">
        <v>569</v>
      </c>
      <c r="D163" s="2" t="s">
        <v>31</v>
      </c>
      <c r="E163" s="2" t="s">
        <v>134</v>
      </c>
      <c r="F163" s="2" t="s">
        <v>570</v>
      </c>
    </row>
    <row r="164" spans="1:6" ht="30" x14ac:dyDescent="0.25">
      <c r="A164" s="2" t="s">
        <v>571</v>
      </c>
      <c r="B164" s="2" t="s">
        <v>3</v>
      </c>
      <c r="C164" s="2" t="s">
        <v>572</v>
      </c>
      <c r="D164" s="2" t="s">
        <v>31</v>
      </c>
      <c r="E164" s="2" t="s">
        <v>32</v>
      </c>
      <c r="F164" s="2" t="s">
        <v>573</v>
      </c>
    </row>
    <row r="165" spans="1:6" x14ac:dyDescent="0.25">
      <c r="A165" s="2" t="s">
        <v>574</v>
      </c>
      <c r="B165" s="2" t="s">
        <v>3</v>
      </c>
      <c r="C165" s="2" t="s">
        <v>575</v>
      </c>
      <c r="D165" s="2" t="s">
        <v>31</v>
      </c>
      <c r="E165" s="2" t="s">
        <v>134</v>
      </c>
      <c r="F165" s="2" t="s">
        <v>576</v>
      </c>
    </row>
    <row r="166" spans="1:6" ht="30" x14ac:dyDescent="0.25">
      <c r="A166" s="2" t="s">
        <v>577</v>
      </c>
      <c r="B166" s="2" t="s">
        <v>3</v>
      </c>
      <c r="C166" s="2" t="s">
        <v>578</v>
      </c>
      <c r="D166" s="2" t="s">
        <v>31</v>
      </c>
      <c r="E166" s="2" t="s">
        <v>126</v>
      </c>
      <c r="F166" s="2" t="s">
        <v>579</v>
      </c>
    </row>
    <row r="167" spans="1:6" ht="30" x14ac:dyDescent="0.25">
      <c r="A167" s="2" t="s">
        <v>580</v>
      </c>
      <c r="B167" s="2" t="s">
        <v>3</v>
      </c>
      <c r="C167" s="2" t="s">
        <v>581</v>
      </c>
      <c r="D167" s="2" t="s">
        <v>31</v>
      </c>
      <c r="E167" s="2" t="s">
        <v>134</v>
      </c>
      <c r="F167" s="2" t="s">
        <v>582</v>
      </c>
    </row>
    <row r="168" spans="1:6" x14ac:dyDescent="0.25">
      <c r="A168" s="2" t="s">
        <v>583</v>
      </c>
      <c r="B168" s="2" t="s">
        <v>3</v>
      </c>
      <c r="C168" s="2" t="s">
        <v>584</v>
      </c>
      <c r="D168" s="2" t="s">
        <v>31</v>
      </c>
      <c r="E168" s="2" t="s">
        <v>126</v>
      </c>
      <c r="F168" s="2" t="s">
        <v>585</v>
      </c>
    </row>
    <row r="169" spans="1:6" x14ac:dyDescent="0.25">
      <c r="A169" s="2" t="s">
        <v>586</v>
      </c>
      <c r="B169" s="2" t="s">
        <v>3</v>
      </c>
      <c r="C169" s="2" t="s">
        <v>587</v>
      </c>
      <c r="D169" s="2" t="s">
        <v>31</v>
      </c>
      <c r="E169" s="2" t="s">
        <v>126</v>
      </c>
      <c r="F169" s="2" t="s">
        <v>588</v>
      </c>
    </row>
    <row r="170" spans="1:6" x14ac:dyDescent="0.25">
      <c r="A170" s="2" t="s">
        <v>589</v>
      </c>
      <c r="B170" s="2" t="s">
        <v>3</v>
      </c>
      <c r="C170" s="2" t="s">
        <v>590</v>
      </c>
      <c r="D170" s="2" t="s">
        <v>31</v>
      </c>
      <c r="E170" s="2" t="s">
        <v>32</v>
      </c>
      <c r="F170" s="2" t="s">
        <v>591</v>
      </c>
    </row>
    <row r="171" spans="1:6" x14ac:dyDescent="0.25">
      <c r="A171" s="2" t="s">
        <v>592</v>
      </c>
      <c r="B171" s="2" t="s">
        <v>3</v>
      </c>
      <c r="C171" s="2" t="s">
        <v>593</v>
      </c>
      <c r="D171" s="2" t="s">
        <v>31</v>
      </c>
      <c r="E171" s="2" t="s">
        <v>126</v>
      </c>
      <c r="F171" s="2" t="s">
        <v>594</v>
      </c>
    </row>
    <row r="172" spans="1:6" ht="30" x14ac:dyDescent="0.25">
      <c r="A172" s="2" t="s">
        <v>595</v>
      </c>
      <c r="B172" s="2" t="s">
        <v>3</v>
      </c>
      <c r="C172" s="2" t="s">
        <v>596</v>
      </c>
      <c r="D172" s="2" t="s">
        <v>31</v>
      </c>
      <c r="E172" s="2" t="s">
        <v>126</v>
      </c>
      <c r="F172" s="2" t="s">
        <v>597</v>
      </c>
    </row>
    <row r="173" spans="1:6" x14ac:dyDescent="0.25">
      <c r="A173" s="2" t="s">
        <v>598</v>
      </c>
      <c r="B173" s="2" t="s">
        <v>3</v>
      </c>
      <c r="C173" s="2" t="s">
        <v>599</v>
      </c>
      <c r="D173" s="2" t="s">
        <v>31</v>
      </c>
      <c r="E173" s="2" t="s">
        <v>126</v>
      </c>
      <c r="F173" s="2" t="s">
        <v>600</v>
      </c>
    </row>
    <row r="174" spans="1:6" ht="30" x14ac:dyDescent="0.25">
      <c r="A174" s="2" t="s">
        <v>601</v>
      </c>
      <c r="B174" s="2" t="s">
        <v>3</v>
      </c>
      <c r="C174" s="2" t="s">
        <v>602</v>
      </c>
      <c r="D174" s="2" t="s">
        <v>603</v>
      </c>
      <c r="E174" s="2" t="s">
        <v>126</v>
      </c>
      <c r="F174" s="2" t="s">
        <v>604</v>
      </c>
    </row>
    <row r="175" spans="1:6" ht="30" x14ac:dyDescent="0.25">
      <c r="A175" s="2" t="s">
        <v>605</v>
      </c>
      <c r="B175" s="2" t="s">
        <v>3</v>
      </c>
      <c r="C175" s="2" t="s">
        <v>606</v>
      </c>
      <c r="D175" s="2" t="s">
        <v>31</v>
      </c>
      <c r="E175" s="2" t="s">
        <v>264</v>
      </c>
      <c r="F175" s="2" t="s">
        <v>607</v>
      </c>
    </row>
    <row r="176" spans="1:6" ht="30" x14ac:dyDescent="0.25">
      <c r="A176" s="2" t="s">
        <v>608</v>
      </c>
      <c r="B176" s="2" t="s">
        <v>3</v>
      </c>
      <c r="C176" s="2" t="s">
        <v>609</v>
      </c>
      <c r="D176" s="2" t="s">
        <v>31</v>
      </c>
      <c r="E176" s="2" t="s">
        <v>466</v>
      </c>
      <c r="F176" s="2" t="s">
        <v>610</v>
      </c>
    </row>
    <row r="177" spans="1:6" ht="75" x14ac:dyDescent="0.25">
      <c r="A177" s="2" t="s">
        <v>611</v>
      </c>
      <c r="B177" s="2" t="s">
        <v>31</v>
      </c>
      <c r="C177" s="2" t="s">
        <v>612</v>
      </c>
      <c r="D177" s="2" t="s">
        <v>613</v>
      </c>
      <c r="E177" s="2" t="s">
        <v>32</v>
      </c>
      <c r="F177" s="2" t="s">
        <v>614</v>
      </c>
    </row>
    <row r="178" spans="1:6" x14ac:dyDescent="0.25">
      <c r="A178" s="2" t="s">
        <v>615</v>
      </c>
      <c r="B178" s="2" t="s">
        <v>616</v>
      </c>
      <c r="C178" s="2" t="s">
        <v>4</v>
      </c>
      <c r="D178" s="2" t="s">
        <v>617</v>
      </c>
      <c r="E178" s="2" t="s">
        <v>32</v>
      </c>
      <c r="F178" s="2" t="s">
        <v>618</v>
      </c>
    </row>
    <row r="179" spans="1:6" ht="30" x14ac:dyDescent="0.25">
      <c r="A179" s="2" t="s">
        <v>619</v>
      </c>
      <c r="B179" s="2" t="s">
        <v>616</v>
      </c>
      <c r="C179" s="2" t="s">
        <v>620</v>
      </c>
      <c r="D179" s="2" t="s">
        <v>31</v>
      </c>
      <c r="E179" s="2" t="s">
        <v>134</v>
      </c>
      <c r="F179" s="2" t="s">
        <v>621</v>
      </c>
    </row>
    <row r="180" spans="1:6" ht="30" x14ac:dyDescent="0.25">
      <c r="A180" s="2" t="s">
        <v>355</v>
      </c>
      <c r="B180" s="2" t="s">
        <v>616</v>
      </c>
      <c r="C180" s="2" t="s">
        <v>356</v>
      </c>
      <c r="D180" s="2" t="s">
        <v>357</v>
      </c>
      <c r="E180" s="2" t="s">
        <v>27</v>
      </c>
      <c r="F180" s="2" t="s">
        <v>358</v>
      </c>
    </row>
    <row r="181" spans="1:6" x14ac:dyDescent="0.25">
      <c r="A181" s="2" t="s">
        <v>800</v>
      </c>
      <c r="B181" s="2" t="s">
        <v>616</v>
      </c>
      <c r="C181" s="2" t="s">
        <v>801</v>
      </c>
      <c r="D181" s="2" t="s">
        <v>31</v>
      </c>
      <c r="E181" s="2" t="s">
        <v>27</v>
      </c>
      <c r="F181" s="2" t="s">
        <v>802</v>
      </c>
    </row>
    <row r="182" spans="1:6" ht="30" x14ac:dyDescent="0.25">
      <c r="A182" s="2" t="s">
        <v>352</v>
      </c>
      <c r="B182" s="2" t="s">
        <v>616</v>
      </c>
      <c r="C182" s="2" t="s">
        <v>353</v>
      </c>
      <c r="D182" s="2" t="s">
        <v>31</v>
      </c>
      <c r="E182" s="2" t="s">
        <v>126</v>
      </c>
      <c r="F182" s="2" t="s">
        <v>354</v>
      </c>
    </row>
    <row r="183" spans="1:6" x14ac:dyDescent="0.25">
      <c r="A183" s="2" t="s">
        <v>622</v>
      </c>
      <c r="B183" s="2" t="s">
        <v>616</v>
      </c>
      <c r="C183" s="2" t="s">
        <v>623</v>
      </c>
      <c r="D183" s="2" t="s">
        <v>31</v>
      </c>
      <c r="E183" s="2" t="s">
        <v>126</v>
      </c>
      <c r="F183" s="2" t="s">
        <v>624</v>
      </c>
    </row>
    <row r="184" spans="1:6" ht="30" x14ac:dyDescent="0.25">
      <c r="A184" s="2" t="s">
        <v>349</v>
      </c>
      <c r="B184" s="2" t="s">
        <v>616</v>
      </c>
      <c r="C184" s="2" t="s">
        <v>350</v>
      </c>
      <c r="D184" s="2" t="s">
        <v>31</v>
      </c>
      <c r="E184" s="2" t="s">
        <v>27</v>
      </c>
      <c r="F184" s="2" t="s">
        <v>351</v>
      </c>
    </row>
    <row r="185" spans="1:6" x14ac:dyDescent="0.25">
      <c r="A185" s="2" t="s">
        <v>370</v>
      </c>
      <c r="B185" s="2" t="s">
        <v>616</v>
      </c>
      <c r="C185" s="2" t="s">
        <v>371</v>
      </c>
      <c r="D185" s="2" t="s">
        <v>31</v>
      </c>
      <c r="E185" s="2" t="s">
        <v>27</v>
      </c>
      <c r="F185" s="2" t="s">
        <v>372</v>
      </c>
    </row>
    <row r="186" spans="1:6" ht="30" x14ac:dyDescent="0.25">
      <c r="A186" s="2" t="s">
        <v>367</v>
      </c>
      <c r="B186" s="2" t="s">
        <v>616</v>
      </c>
      <c r="C186" s="2" t="s">
        <v>368</v>
      </c>
      <c r="D186" s="2" t="s">
        <v>31</v>
      </c>
      <c r="E186" s="2" t="s">
        <v>126</v>
      </c>
      <c r="F186" s="2" t="s">
        <v>369</v>
      </c>
    </row>
    <row r="187" spans="1:6" ht="30" x14ac:dyDescent="0.25">
      <c r="A187" s="2" t="s">
        <v>625</v>
      </c>
      <c r="B187" s="2" t="s">
        <v>616</v>
      </c>
      <c r="C187" s="2" t="s">
        <v>626</v>
      </c>
      <c r="D187" s="2" t="s">
        <v>31</v>
      </c>
      <c r="E187" s="2" t="s">
        <v>126</v>
      </c>
      <c r="F187" s="2" t="s">
        <v>627</v>
      </c>
    </row>
    <row r="188" spans="1:6" ht="30" x14ac:dyDescent="0.25">
      <c r="A188" s="2" t="s">
        <v>628</v>
      </c>
      <c r="B188" s="2" t="s">
        <v>616</v>
      </c>
      <c r="C188" s="2" t="s">
        <v>629</v>
      </c>
      <c r="D188" s="2" t="s">
        <v>31</v>
      </c>
      <c r="E188" s="2" t="s">
        <v>630</v>
      </c>
      <c r="F188" s="2" t="s">
        <v>631</v>
      </c>
    </row>
    <row r="189" spans="1:6" x14ac:dyDescent="0.25">
      <c r="A189" s="2" t="s">
        <v>632</v>
      </c>
      <c r="B189" s="2" t="s">
        <v>616</v>
      </c>
      <c r="C189" s="2" t="s">
        <v>633</v>
      </c>
      <c r="D189" s="2" t="s">
        <v>634</v>
      </c>
      <c r="E189" s="2" t="s">
        <v>126</v>
      </c>
      <c r="F189" s="2" t="s">
        <v>635</v>
      </c>
    </row>
    <row r="190" spans="1:6" ht="30" x14ac:dyDescent="0.25">
      <c r="A190" s="2" t="s">
        <v>636</v>
      </c>
      <c r="B190" s="2" t="s">
        <v>616</v>
      </c>
      <c r="C190" s="2" t="s">
        <v>637</v>
      </c>
      <c r="D190" s="2" t="s">
        <v>31</v>
      </c>
      <c r="E190" s="2" t="s">
        <v>27</v>
      </c>
      <c r="F190" s="2" t="s">
        <v>638</v>
      </c>
    </row>
    <row r="191" spans="1:6" ht="30" x14ac:dyDescent="0.25">
      <c r="A191" s="2" t="s">
        <v>639</v>
      </c>
      <c r="B191" s="2" t="s">
        <v>616</v>
      </c>
      <c r="C191" s="2" t="s">
        <v>640</v>
      </c>
      <c r="D191" s="2" t="s">
        <v>641</v>
      </c>
      <c r="E191" s="2" t="s">
        <v>27</v>
      </c>
      <c r="F191" s="2" t="s">
        <v>642</v>
      </c>
    </row>
    <row r="192" spans="1:6" ht="30" x14ac:dyDescent="0.25">
      <c r="A192" s="2" t="s">
        <v>643</v>
      </c>
      <c r="B192" s="2" t="s">
        <v>616</v>
      </c>
      <c r="C192" s="2" t="s">
        <v>644</v>
      </c>
      <c r="D192" s="2" t="s">
        <v>31</v>
      </c>
      <c r="E192" s="2" t="s">
        <v>32</v>
      </c>
      <c r="F192" s="2" t="s">
        <v>645</v>
      </c>
    </row>
    <row r="193" spans="1:6" ht="30" x14ac:dyDescent="0.25">
      <c r="A193" s="2" t="s">
        <v>646</v>
      </c>
      <c r="B193" s="2" t="s">
        <v>616</v>
      </c>
      <c r="C193" s="2" t="s">
        <v>647</v>
      </c>
      <c r="D193" s="2" t="s">
        <v>115</v>
      </c>
      <c r="E193" s="2" t="s">
        <v>126</v>
      </c>
      <c r="F193" s="2" t="s">
        <v>648</v>
      </c>
    </row>
    <row r="194" spans="1:6" ht="30" x14ac:dyDescent="0.25">
      <c r="A194" s="2" t="s">
        <v>649</v>
      </c>
      <c r="B194" s="2" t="s">
        <v>616</v>
      </c>
      <c r="C194" s="2" t="s">
        <v>650</v>
      </c>
      <c r="D194" s="2" t="s">
        <v>651</v>
      </c>
      <c r="E194" s="2" t="s">
        <v>27</v>
      </c>
      <c r="F194" s="2" t="s">
        <v>652</v>
      </c>
    </row>
    <row r="195" spans="1:6" x14ac:dyDescent="0.25">
      <c r="A195" s="2" t="s">
        <v>653</v>
      </c>
      <c r="B195" s="2" t="s">
        <v>616</v>
      </c>
      <c r="C195" s="2" t="s">
        <v>654</v>
      </c>
      <c r="D195" s="2" t="s">
        <v>655</v>
      </c>
      <c r="E195" s="2" t="s">
        <v>27</v>
      </c>
      <c r="F195" s="2" t="s">
        <v>656</v>
      </c>
    </row>
    <row r="196" spans="1:6" ht="120" x14ac:dyDescent="0.25">
      <c r="A196" s="2" t="s">
        <v>657</v>
      </c>
      <c r="B196" s="2" t="s">
        <v>616</v>
      </c>
      <c r="C196" s="2" t="s">
        <v>658</v>
      </c>
      <c r="D196" s="2" t="s">
        <v>659</v>
      </c>
      <c r="E196" s="2" t="s">
        <v>630</v>
      </c>
      <c r="F196" s="2" t="s">
        <v>660</v>
      </c>
    </row>
    <row r="197" spans="1:6" ht="120" x14ac:dyDescent="0.25">
      <c r="A197" s="2" t="s">
        <v>661</v>
      </c>
      <c r="B197" s="2" t="s">
        <v>616</v>
      </c>
      <c r="C197" s="2" t="s">
        <v>662</v>
      </c>
      <c r="D197" s="2" t="s">
        <v>663</v>
      </c>
      <c r="E197" s="2" t="s">
        <v>27</v>
      </c>
      <c r="F197" s="2" t="s">
        <v>664</v>
      </c>
    </row>
    <row r="198" spans="1:6" ht="60" x14ac:dyDescent="0.25">
      <c r="A198" s="2" t="s">
        <v>665</v>
      </c>
      <c r="B198" s="2" t="s">
        <v>616</v>
      </c>
      <c r="C198" s="2" t="s">
        <v>666</v>
      </c>
      <c r="D198" s="2" t="s">
        <v>31</v>
      </c>
      <c r="E198" s="2" t="s">
        <v>27</v>
      </c>
      <c r="F198" s="2" t="s">
        <v>667</v>
      </c>
    </row>
    <row r="199" spans="1:6" ht="30" x14ac:dyDescent="0.25">
      <c r="A199" s="2" t="s">
        <v>668</v>
      </c>
      <c r="B199" s="2" t="s">
        <v>616</v>
      </c>
      <c r="C199" s="2" t="s">
        <v>669</v>
      </c>
      <c r="D199" s="2" t="s">
        <v>31</v>
      </c>
      <c r="E199" s="2" t="s">
        <v>213</v>
      </c>
      <c r="F199" s="2" t="s">
        <v>670</v>
      </c>
    </row>
    <row r="200" spans="1:6" ht="30" x14ac:dyDescent="0.25">
      <c r="A200" s="2" t="s">
        <v>671</v>
      </c>
      <c r="B200" s="2" t="s">
        <v>616</v>
      </c>
      <c r="C200" s="2" t="s">
        <v>672</v>
      </c>
      <c r="D200" s="2" t="s">
        <v>31</v>
      </c>
      <c r="E200" s="2" t="s">
        <v>126</v>
      </c>
      <c r="F200" s="2" t="s">
        <v>673</v>
      </c>
    </row>
    <row r="201" spans="1:6" x14ac:dyDescent="0.25">
      <c r="A201" s="2" t="s">
        <v>674</v>
      </c>
      <c r="B201" s="2" t="s">
        <v>616</v>
      </c>
      <c r="C201" s="2" t="s">
        <v>675</v>
      </c>
      <c r="D201" s="2" t="s">
        <v>31</v>
      </c>
      <c r="E201" s="2" t="s">
        <v>27</v>
      </c>
      <c r="F201" s="2" t="s">
        <v>676</v>
      </c>
    </row>
    <row r="202" spans="1:6" ht="30" x14ac:dyDescent="0.25">
      <c r="A202" s="2" t="s">
        <v>677</v>
      </c>
      <c r="B202" s="2" t="s">
        <v>616</v>
      </c>
      <c r="C202" s="2" t="s">
        <v>678</v>
      </c>
      <c r="D202" s="2" t="s">
        <v>31</v>
      </c>
      <c r="E202" s="2" t="s">
        <v>264</v>
      </c>
      <c r="F202" s="2" t="s">
        <v>679</v>
      </c>
    </row>
    <row r="203" spans="1:6" ht="30" x14ac:dyDescent="0.25">
      <c r="A203" s="2" t="s">
        <v>680</v>
      </c>
      <c r="B203" s="2" t="s">
        <v>616</v>
      </c>
      <c r="C203" s="2" t="s">
        <v>681</v>
      </c>
      <c r="D203" s="2" t="s">
        <v>4</v>
      </c>
      <c r="E203" s="2" t="s">
        <v>566</v>
      </c>
      <c r="F203" s="2" t="s">
        <v>682</v>
      </c>
    </row>
    <row r="204" spans="1:6" x14ac:dyDescent="0.25">
      <c r="A204" s="2" t="s">
        <v>683</v>
      </c>
      <c r="B204" s="2" t="s">
        <v>616</v>
      </c>
      <c r="C204" s="2" t="s">
        <v>684</v>
      </c>
      <c r="D204" s="2" t="s">
        <v>31</v>
      </c>
      <c r="E204" s="2" t="s">
        <v>213</v>
      </c>
      <c r="F204" s="2" t="s">
        <v>685</v>
      </c>
    </row>
    <row r="205" spans="1:6" x14ac:dyDescent="0.25">
      <c r="A205" s="2" t="s">
        <v>686</v>
      </c>
      <c r="B205" s="2" t="s">
        <v>616</v>
      </c>
      <c r="C205" s="2" t="s">
        <v>687</v>
      </c>
      <c r="D205" s="2" t="s">
        <v>688</v>
      </c>
      <c r="E205" s="2" t="s">
        <v>689</v>
      </c>
      <c r="F205" s="2" t="s">
        <v>690</v>
      </c>
    </row>
    <row r="206" spans="1:6" ht="30" x14ac:dyDescent="0.25">
      <c r="A206" s="2" t="s">
        <v>691</v>
      </c>
      <c r="B206" s="2" t="s">
        <v>616</v>
      </c>
      <c r="C206" s="2" t="s">
        <v>692</v>
      </c>
      <c r="D206" s="2" t="s">
        <v>31</v>
      </c>
      <c r="E206" s="2" t="s">
        <v>365</v>
      </c>
      <c r="F206" s="2" t="s">
        <v>693</v>
      </c>
    </row>
    <row r="207" spans="1:6" ht="30" x14ac:dyDescent="0.25">
      <c r="A207" s="2" t="s">
        <v>694</v>
      </c>
      <c r="B207" s="2" t="s">
        <v>616</v>
      </c>
      <c r="C207" s="2" t="s">
        <v>695</v>
      </c>
      <c r="D207" s="2" t="s">
        <v>696</v>
      </c>
      <c r="E207" s="2" t="s">
        <v>27</v>
      </c>
      <c r="F207" s="2" t="s">
        <v>697</v>
      </c>
    </row>
    <row r="208" spans="1:6" ht="75" x14ac:dyDescent="0.25">
      <c r="A208" s="2" t="s">
        <v>698</v>
      </c>
      <c r="B208" s="2" t="s">
        <v>616</v>
      </c>
      <c r="C208" s="2" t="s">
        <v>699</v>
      </c>
      <c r="D208" s="2" t="s">
        <v>31</v>
      </c>
      <c r="E208" s="2" t="s">
        <v>466</v>
      </c>
      <c r="F208" s="2" t="s">
        <v>700</v>
      </c>
    </row>
    <row r="209" spans="1:6" ht="30" x14ac:dyDescent="0.25">
      <c r="A209" s="2" t="s">
        <v>701</v>
      </c>
      <c r="B209" s="2" t="s">
        <v>616</v>
      </c>
      <c r="C209" s="2" t="s">
        <v>702</v>
      </c>
      <c r="D209" s="2" t="s">
        <v>31</v>
      </c>
      <c r="E209" s="2" t="s">
        <v>365</v>
      </c>
      <c r="F209" s="2" t="s">
        <v>703</v>
      </c>
    </row>
    <row r="210" spans="1:6" ht="45" x14ac:dyDescent="0.25">
      <c r="A210" s="2" t="s">
        <v>704</v>
      </c>
      <c r="B210" s="2" t="s">
        <v>616</v>
      </c>
      <c r="C210" s="2" t="s">
        <v>705</v>
      </c>
      <c r="D210" s="2" t="s">
        <v>31</v>
      </c>
      <c r="E210" s="2" t="s">
        <v>126</v>
      </c>
      <c r="F210" s="2" t="s">
        <v>706</v>
      </c>
    </row>
    <row r="211" spans="1:6" ht="30" x14ac:dyDescent="0.25">
      <c r="A211" s="2" t="s">
        <v>707</v>
      </c>
      <c r="B211" s="2" t="s">
        <v>616</v>
      </c>
      <c r="C211" s="2" t="s">
        <v>708</v>
      </c>
      <c r="D211" s="2" t="s">
        <v>31</v>
      </c>
      <c r="E211" s="2" t="s">
        <v>134</v>
      </c>
      <c r="F211" s="2" t="s">
        <v>709</v>
      </c>
    </row>
    <row r="212" spans="1:6" ht="30" x14ac:dyDescent="0.25">
      <c r="A212" s="2" t="s">
        <v>710</v>
      </c>
      <c r="B212" s="2" t="s">
        <v>616</v>
      </c>
      <c r="C212" s="2" t="s">
        <v>711</v>
      </c>
      <c r="D212" s="2" t="s">
        <v>31</v>
      </c>
      <c r="E212" s="2" t="s">
        <v>32</v>
      </c>
      <c r="F212" s="2" t="s">
        <v>712</v>
      </c>
    </row>
    <row r="213" spans="1:6" ht="30" x14ac:dyDescent="0.25">
      <c r="A213" s="2" t="s">
        <v>713</v>
      </c>
      <c r="B213" s="2" t="s">
        <v>616</v>
      </c>
      <c r="C213" s="2" t="s">
        <v>714</v>
      </c>
      <c r="D213" s="2" t="s">
        <v>31</v>
      </c>
      <c r="E213" s="2" t="s">
        <v>126</v>
      </c>
      <c r="F213" s="2" t="s">
        <v>715</v>
      </c>
    </row>
    <row r="214" spans="1:6" x14ac:dyDescent="0.25">
      <c r="A214" s="2" t="s">
        <v>716</v>
      </c>
      <c r="B214" s="2" t="s">
        <v>616</v>
      </c>
      <c r="C214" s="2" t="s">
        <v>717</v>
      </c>
      <c r="D214" s="2" t="s">
        <v>31</v>
      </c>
      <c r="E214" s="2" t="s">
        <v>718</v>
      </c>
      <c r="F214" s="2" t="s">
        <v>719</v>
      </c>
    </row>
    <row r="215" spans="1:6" ht="30" x14ac:dyDescent="0.25">
      <c r="A215" s="2" t="s">
        <v>720</v>
      </c>
      <c r="B215" s="2" t="s">
        <v>616</v>
      </c>
      <c r="C215" s="2" t="s">
        <v>721</v>
      </c>
      <c r="D215" s="2" t="s">
        <v>31</v>
      </c>
      <c r="E215" s="2" t="s">
        <v>32</v>
      </c>
      <c r="F215" s="2" t="s">
        <v>722</v>
      </c>
    </row>
    <row r="216" spans="1:6" x14ac:dyDescent="0.25">
      <c r="A216" s="2" t="s">
        <v>723</v>
      </c>
      <c r="B216" s="2" t="s">
        <v>616</v>
      </c>
      <c r="C216" s="2" t="s">
        <v>724</v>
      </c>
      <c r="D216" s="2" t="s">
        <v>31</v>
      </c>
      <c r="E216" s="2" t="s">
        <v>27</v>
      </c>
      <c r="F216" s="2" t="s">
        <v>725</v>
      </c>
    </row>
    <row r="217" spans="1:6" ht="45" x14ac:dyDescent="0.25">
      <c r="A217" s="2" t="s">
        <v>726</v>
      </c>
      <c r="B217" s="2" t="s">
        <v>616</v>
      </c>
      <c r="C217" s="2" t="s">
        <v>727</v>
      </c>
      <c r="D217" s="2" t="s">
        <v>728</v>
      </c>
      <c r="E217" s="2" t="s">
        <v>134</v>
      </c>
      <c r="F217" s="2" t="s">
        <v>729</v>
      </c>
    </row>
    <row r="218" spans="1:6" x14ac:dyDescent="0.25">
      <c r="A218" s="2" t="s">
        <v>730</v>
      </c>
      <c r="B218" s="2" t="s">
        <v>616</v>
      </c>
      <c r="C218" s="2" t="s">
        <v>731</v>
      </c>
      <c r="D218" s="2" t="s">
        <v>31</v>
      </c>
      <c r="E218" s="2" t="s">
        <v>134</v>
      </c>
      <c r="F218" s="2" t="s">
        <v>732</v>
      </c>
    </row>
    <row r="219" spans="1:6" x14ac:dyDescent="0.25">
      <c r="A219" s="2" t="s">
        <v>733</v>
      </c>
      <c r="B219" s="2" t="s">
        <v>616</v>
      </c>
      <c r="C219" s="2" t="s">
        <v>734</v>
      </c>
      <c r="D219" s="2" t="s">
        <v>735</v>
      </c>
      <c r="E219" s="2" t="s">
        <v>213</v>
      </c>
      <c r="F219" s="2" t="s">
        <v>736</v>
      </c>
    </row>
    <row r="220" spans="1:6" x14ac:dyDescent="0.25">
      <c r="A220" s="2" t="s">
        <v>737</v>
      </c>
      <c r="B220" s="2" t="s">
        <v>616</v>
      </c>
      <c r="C220" s="2" t="s">
        <v>738</v>
      </c>
      <c r="D220" s="2" t="s">
        <v>31</v>
      </c>
      <c r="E220" s="2" t="s">
        <v>32</v>
      </c>
      <c r="F220" s="2" t="s">
        <v>739</v>
      </c>
    </row>
    <row r="221" spans="1:6" ht="30" x14ac:dyDescent="0.25">
      <c r="A221" s="2" t="s">
        <v>740</v>
      </c>
      <c r="B221" s="2" t="s">
        <v>616</v>
      </c>
      <c r="C221" s="2" t="s">
        <v>741</v>
      </c>
      <c r="D221" s="2" t="s">
        <v>31</v>
      </c>
      <c r="E221" s="2" t="s">
        <v>32</v>
      </c>
      <c r="F221" s="2" t="s">
        <v>742</v>
      </c>
    </row>
    <row r="222" spans="1:6" ht="30" x14ac:dyDescent="0.25">
      <c r="A222" s="2" t="s">
        <v>743</v>
      </c>
      <c r="B222" s="2" t="s">
        <v>616</v>
      </c>
      <c r="C222" s="2" t="s">
        <v>744</v>
      </c>
      <c r="D222" s="2" t="s">
        <v>31</v>
      </c>
      <c r="E222" s="2" t="s">
        <v>27</v>
      </c>
      <c r="F222" s="2" t="s">
        <v>745</v>
      </c>
    </row>
    <row r="223" spans="1:6" ht="30" x14ac:dyDescent="0.25">
      <c r="A223" s="2" t="s">
        <v>746</v>
      </c>
      <c r="B223" s="2" t="s">
        <v>616</v>
      </c>
      <c r="C223" s="2" t="s">
        <v>747</v>
      </c>
      <c r="D223" s="2" t="s">
        <v>31</v>
      </c>
      <c r="E223" s="2" t="s">
        <v>213</v>
      </c>
      <c r="F223" s="2" t="s">
        <v>748</v>
      </c>
    </row>
    <row r="224" spans="1:6" ht="30" x14ac:dyDescent="0.25">
      <c r="A224" s="2" t="s">
        <v>749</v>
      </c>
      <c r="B224" s="2" t="s">
        <v>616</v>
      </c>
      <c r="C224" s="2" t="s">
        <v>750</v>
      </c>
      <c r="D224" s="2" t="s">
        <v>31</v>
      </c>
      <c r="E224" s="2" t="s">
        <v>27</v>
      </c>
      <c r="F224" s="2" t="s">
        <v>751</v>
      </c>
    </row>
    <row r="225" spans="1:6" ht="30" x14ac:dyDescent="0.25">
      <c r="A225" s="2" t="s">
        <v>752</v>
      </c>
      <c r="B225" s="2" t="s">
        <v>616</v>
      </c>
      <c r="C225" s="2" t="s">
        <v>753</v>
      </c>
      <c r="D225" s="2" t="s">
        <v>31</v>
      </c>
      <c r="E225" s="2" t="s">
        <v>126</v>
      </c>
      <c r="F225" s="2" t="s">
        <v>754</v>
      </c>
    </row>
    <row r="226" spans="1:6" ht="30" x14ac:dyDescent="0.25">
      <c r="A226" s="2" t="s">
        <v>755</v>
      </c>
      <c r="B226" s="2" t="s">
        <v>616</v>
      </c>
      <c r="C226" s="2" t="s">
        <v>756</v>
      </c>
      <c r="D226" s="2" t="s">
        <v>31</v>
      </c>
      <c r="E226" s="2" t="s">
        <v>126</v>
      </c>
      <c r="F226" s="2" t="s">
        <v>757</v>
      </c>
    </row>
    <row r="227" spans="1:6" x14ac:dyDescent="0.25">
      <c r="A227" s="2" t="s">
        <v>758</v>
      </c>
      <c r="B227" s="2" t="s">
        <v>616</v>
      </c>
      <c r="C227" s="2" t="s">
        <v>759</v>
      </c>
      <c r="D227" s="2" t="s">
        <v>31</v>
      </c>
      <c r="E227" s="2" t="s">
        <v>126</v>
      </c>
      <c r="F227" s="2" t="s">
        <v>760</v>
      </c>
    </row>
    <row r="228" spans="1:6" ht="30" x14ac:dyDescent="0.25">
      <c r="A228" s="2" t="s">
        <v>761</v>
      </c>
      <c r="B228" s="2" t="s">
        <v>616</v>
      </c>
      <c r="C228" s="2" t="s">
        <v>762</v>
      </c>
      <c r="D228" s="2" t="s">
        <v>31</v>
      </c>
      <c r="E228" s="2" t="s">
        <v>126</v>
      </c>
      <c r="F228" s="2" t="s">
        <v>763</v>
      </c>
    </row>
    <row r="229" spans="1:6" ht="30" x14ac:dyDescent="0.25">
      <c r="A229" s="2" t="s">
        <v>764</v>
      </c>
      <c r="B229" s="2" t="s">
        <v>616</v>
      </c>
      <c r="C229" s="2" t="s">
        <v>765</v>
      </c>
      <c r="D229" s="2" t="s">
        <v>31</v>
      </c>
      <c r="E229" s="2" t="s">
        <v>27</v>
      </c>
      <c r="F229" s="2" t="s">
        <v>766</v>
      </c>
    </row>
    <row r="230" spans="1:6" ht="30" x14ac:dyDescent="0.25">
      <c r="A230" s="2" t="s">
        <v>767</v>
      </c>
      <c r="B230" s="2" t="s">
        <v>616</v>
      </c>
      <c r="C230" s="2" t="s">
        <v>768</v>
      </c>
      <c r="D230" s="2" t="s">
        <v>31</v>
      </c>
      <c r="E230" s="2" t="s">
        <v>126</v>
      </c>
      <c r="F230" s="2" t="s">
        <v>769</v>
      </c>
    </row>
    <row r="231" spans="1:6" x14ac:dyDescent="0.25">
      <c r="A231" s="2" t="s">
        <v>770</v>
      </c>
      <c r="B231" s="2" t="s">
        <v>616</v>
      </c>
      <c r="C231" s="2" t="s">
        <v>771</v>
      </c>
      <c r="D231" s="2" t="s">
        <v>31</v>
      </c>
      <c r="E231" s="2" t="s">
        <v>27</v>
      </c>
      <c r="F231" s="2" t="s">
        <v>772</v>
      </c>
    </row>
    <row r="232" spans="1:6" x14ac:dyDescent="0.25">
      <c r="A232" s="2" t="s">
        <v>773</v>
      </c>
      <c r="B232" s="2" t="s">
        <v>616</v>
      </c>
      <c r="C232" s="2" t="s">
        <v>774</v>
      </c>
      <c r="D232" s="2" t="s">
        <v>31</v>
      </c>
      <c r="E232" s="2" t="s">
        <v>62</v>
      </c>
      <c r="F232" s="2" t="s">
        <v>775</v>
      </c>
    </row>
    <row r="233" spans="1:6" x14ac:dyDescent="0.25">
      <c r="A233" s="2" t="s">
        <v>776</v>
      </c>
      <c r="B233" s="2" t="s">
        <v>616</v>
      </c>
      <c r="C233" s="2" t="s">
        <v>777</v>
      </c>
      <c r="D233" s="2" t="s">
        <v>31</v>
      </c>
      <c r="E233" s="2" t="s">
        <v>32</v>
      </c>
      <c r="F233" s="2" t="s">
        <v>778</v>
      </c>
    </row>
    <row r="234" spans="1:6" ht="30" x14ac:dyDescent="0.25">
      <c r="A234" s="2" t="s">
        <v>779</v>
      </c>
      <c r="B234" s="2" t="s">
        <v>616</v>
      </c>
      <c r="C234" s="2" t="s">
        <v>780</v>
      </c>
      <c r="D234" s="2" t="s">
        <v>31</v>
      </c>
      <c r="E234" s="2" t="s">
        <v>62</v>
      </c>
      <c r="F234" s="2" t="s">
        <v>781</v>
      </c>
    </row>
    <row r="235" spans="1:6" x14ac:dyDescent="0.25">
      <c r="A235" s="2" t="s">
        <v>782</v>
      </c>
      <c r="B235" s="2" t="s">
        <v>616</v>
      </c>
      <c r="C235" s="2" t="s">
        <v>783</v>
      </c>
      <c r="D235" s="2" t="s">
        <v>31</v>
      </c>
      <c r="E235" s="2" t="s">
        <v>27</v>
      </c>
      <c r="F235" s="2" t="s">
        <v>784</v>
      </c>
    </row>
    <row r="236" spans="1:6" x14ac:dyDescent="0.25">
      <c r="A236" s="2" t="s">
        <v>785</v>
      </c>
      <c r="B236" s="2" t="s">
        <v>616</v>
      </c>
      <c r="C236" s="2" t="s">
        <v>786</v>
      </c>
      <c r="D236" s="2" t="s">
        <v>31</v>
      </c>
      <c r="E236" s="2" t="s">
        <v>32</v>
      </c>
      <c r="F236" s="2" t="s">
        <v>787</v>
      </c>
    </row>
  </sheetData>
  <conditionalFormatting sqref="B237:B1048576">
    <cfRule type="containsText" dxfId="6" priority="2" operator="containsText" text="Backlog">
      <formula>NOT(ISERROR(SEARCH("Backlog",B237)))</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19639-9BD8-4DF3-B088-99A5562000FE}">
  <sheetPr codeName="Sheet4"/>
  <dimension ref="A1:AJ7"/>
  <sheetViews>
    <sheetView tabSelected="1" workbookViewId="0">
      <selection activeCell="E12" sqref="E12"/>
    </sheetView>
  </sheetViews>
  <sheetFormatPr defaultRowHeight="15" x14ac:dyDescent="0.25"/>
  <cols>
    <col min="1" max="5" width="9.140625" style="1"/>
    <col min="6" max="6" width="10.5703125" style="1" customWidth="1"/>
    <col min="7" max="8" width="9.140625" style="1"/>
  </cols>
  <sheetData>
    <row r="1" spans="1:36" x14ac:dyDescent="0.25">
      <c r="A1" s="19" t="s">
        <v>5</v>
      </c>
      <c r="B1" s="19"/>
      <c r="C1" s="17" t="s">
        <v>0</v>
      </c>
      <c r="D1" s="17" t="s">
        <v>1</v>
      </c>
      <c r="E1" s="17" t="s">
        <v>2</v>
      </c>
      <c r="F1" s="17" t="s">
        <v>12</v>
      </c>
      <c r="G1" s="17" t="s">
        <v>3</v>
      </c>
      <c r="H1" s="17" t="s">
        <v>4</v>
      </c>
      <c r="AI1" s="18"/>
      <c r="AJ1" s="18"/>
    </row>
    <row r="2" spans="1:36" x14ac:dyDescent="0.25">
      <c r="A2" s="17" t="s">
        <v>6</v>
      </c>
      <c r="B2" s="4">
        <f>SUM(COUNTIF(Trello_Data!A:B,("*Backlog*")),COUNTIF(Trello_Data!A:B,("*To Do*")),COUNTIF(Trello_Data!A:B,("*Doing*")),COUNTIF(Trello_Data!A:B,("*Completed*")),COUNTIF(Trello_Data!A:B,("*Review*")),COUNTIF(Trello_Data!A:B,("*Done*")))</f>
        <v>231</v>
      </c>
      <c r="C2" s="5">
        <f>COUNTIF(Trello_Data!A:B,("*Backlog*"))</f>
        <v>20</v>
      </c>
      <c r="D2" s="6">
        <f>COUNTIF(Trello_Data!A:B,("*To Do*"))</f>
        <v>29</v>
      </c>
      <c r="E2" s="7">
        <f>COUNTIF(Trello_Data!A:B,("*Doing*"))</f>
        <v>21</v>
      </c>
      <c r="F2" s="8">
        <f>COUNTIF(Trello_Data!A:B,("*Completed*"))</f>
        <v>8</v>
      </c>
      <c r="G2" s="9">
        <f>COUNTIF(Trello_Data!A:B,("*Review*"))</f>
        <v>94</v>
      </c>
      <c r="H2" s="10">
        <f>COUNTIF(Trello_Data!A:B,("*done*"))</f>
        <v>59</v>
      </c>
    </row>
    <row r="3" spans="1:36" x14ac:dyDescent="0.25">
      <c r="A3" s="17" t="s">
        <v>7</v>
      </c>
      <c r="B3" s="17">
        <f>COUNTIF(Trello_Data!E:F, "*Riaz*")</f>
        <v>39</v>
      </c>
      <c r="C3" s="11">
        <f>COUNTIFS(Trello_Data!$A:$B,"*Backlog*",Trello_Data!$D:$E,"*Riaz*")</f>
        <v>0</v>
      </c>
      <c r="D3" s="12">
        <f>COUNTIFS(Trello_Data!$A:$B,"*To Do*",Trello_Data!$D:$E,"*Riaz*")</f>
        <v>4</v>
      </c>
      <c r="E3" s="13">
        <f>COUNTIFS(Trello_Data!$A:$B,"*Doing*",Trello_Data!$D:$E,"*Riaz*")</f>
        <v>2</v>
      </c>
      <c r="F3" s="14">
        <f>COUNTIFS(Trello_Data!$A:$B,"*Completed*",Trello_Data!$D:$E,"*Riaz*")</f>
        <v>0</v>
      </c>
      <c r="G3" s="15">
        <f>COUNTIFS(Trello_Data!$A:$B,"*Review*",Trello_Data!$D:$E,"*Riaz*")</f>
        <v>21</v>
      </c>
      <c r="H3" s="16">
        <f>COUNTIFS(Trello_Data!$A:$B,"*done*",Trello_Data!$D:$E,"*Riaz*")</f>
        <v>12</v>
      </c>
    </row>
    <row r="4" spans="1:36" x14ac:dyDescent="0.25">
      <c r="A4" s="17" t="s">
        <v>8</v>
      </c>
      <c r="B4" s="17">
        <f>COUNTIF(Trello_Data!E:F, "*Brett*")</f>
        <v>92</v>
      </c>
      <c r="C4" s="11">
        <f>COUNTIFS(Trello_Data!$A:$B,"*Backlog*",Trello_Data!$D:$E,"*Brett*")</f>
        <v>1</v>
      </c>
      <c r="D4" s="12">
        <f>COUNTIFS(Trello_Data!$A:$B,"*To Do*",Trello_Data!$D:$E,"*Brett*")</f>
        <v>8</v>
      </c>
      <c r="E4" s="13">
        <f>COUNTIFS(Trello_Data!$A:$B,"*Doing*",Trello_Data!$D:$E,"*Brett*")</f>
        <v>12</v>
      </c>
      <c r="F4" s="14">
        <f>COUNTIFS(Trello_Data!$A:$B,"*Completed*",Trello_Data!$D:$E,"*Brett*")</f>
        <v>7</v>
      </c>
      <c r="G4" s="15">
        <f>COUNTIFS(Trello_Data!$A:$B,"*Review*",Trello_Data!$D:$E,"*Brett*")</f>
        <v>39</v>
      </c>
      <c r="H4" s="16">
        <f>COUNTIFS(Trello_Data!$A:$B,"*done*",Trello_Data!$D:$E,"*Brett*")</f>
        <v>25</v>
      </c>
    </row>
    <row r="5" spans="1:36" x14ac:dyDescent="0.25">
      <c r="A5" s="17" t="s">
        <v>9</v>
      </c>
      <c r="B5" s="17">
        <f>COUNTIF(Trello_Data!E:F, "*Byron*")</f>
        <v>92</v>
      </c>
      <c r="C5" s="11">
        <f>COUNTIFS(Trello_Data!$A:$B,"*Backlog*",Trello_Data!$D:$E,"*Byron*")</f>
        <v>3</v>
      </c>
      <c r="D5" s="12">
        <f>COUNTIFS(Trello_Data!$A:$B,"*To Do*",Trello_Data!$D:$E,"*Byron*")</f>
        <v>9</v>
      </c>
      <c r="E5" s="13">
        <f>COUNTIFS(Trello_Data!$A:$B,"*Doing*",Trello_Data!$D:$E,"*Byron*")</f>
        <v>7</v>
      </c>
      <c r="F5" s="14">
        <f>COUNTIFS(Trello_Data!$A:$B,"*Completed*",Trello_Data!$D:$E,"*Byron*")</f>
        <v>0</v>
      </c>
      <c r="G5" s="15">
        <f>COUNTIFS(Trello_Data!$A:$B,"*Review*",Trello_Data!$D:$E,"*Byron*")</f>
        <v>44</v>
      </c>
      <c r="H5" s="16">
        <f>COUNTIFS(Trello_Data!$A:$B,"*done*",Trello_Data!$D:$E,"*Byron*")</f>
        <v>29</v>
      </c>
    </row>
    <row r="6" spans="1:36" x14ac:dyDescent="0.25">
      <c r="A6" s="17" t="s">
        <v>10</v>
      </c>
      <c r="B6" s="17">
        <f>COUNTIF(Trello_Data!E:F, "*Nonnie*")</f>
        <v>7</v>
      </c>
      <c r="C6" s="11">
        <f>COUNTIFS(Trello_Data!$A:$B,"*Backlog*",Trello_Data!$D:$E,"*Nonnie*")</f>
        <v>0</v>
      </c>
      <c r="D6" s="12">
        <f>COUNTIFS(Trello_Data!$A:$B,"*To Do*",Trello_Data!$D:$E,"*Nonnie*")</f>
        <v>1</v>
      </c>
      <c r="E6" s="13">
        <f>COUNTIFS(Trello_Data!$A:$B,"*Doing*",Trello_Data!$D:$E,"*Nonnie*")</f>
        <v>0</v>
      </c>
      <c r="F6" s="14">
        <f>COUNTIFS(Trello_Data!$A:$B,"*Completed*",Trello_Data!$D:$E,"*Nonnie*")</f>
        <v>0</v>
      </c>
      <c r="G6" s="15">
        <f>COUNTIFS(Trello_Data!$A:$B,"*Review*",Trello_Data!$D:$E,"*Nonnie*")</f>
        <v>4</v>
      </c>
      <c r="H6" s="16">
        <f>COUNTIFS(Trello_Data!$A:$B,"*done*",Trello_Data!$D:$E,"*Nonnie*")</f>
        <v>2</v>
      </c>
    </row>
    <row r="7" spans="1:36" x14ac:dyDescent="0.25">
      <c r="A7" s="17" t="s">
        <v>11</v>
      </c>
      <c r="B7" s="17">
        <f>COUNTIF(Trello_Data!E:F, "*Viswa*")</f>
        <v>0</v>
      </c>
      <c r="C7" s="11">
        <f>COUNTIFS(Trello_Data!$A:$B,"*Backlog*",Trello_Data!$D:$E,"*Viswa*")</f>
        <v>0</v>
      </c>
      <c r="D7" s="12">
        <f>COUNTIFS(Trello_Data!$A:$B,"*To Do*",Trello_Data!$D:$E,"*Viswa*")</f>
        <v>0</v>
      </c>
      <c r="E7" s="13">
        <f>COUNTIFS(Trello_Data!$A:$B,"*Doing*",Trello_Data!$D:$E,"*Viswa*")</f>
        <v>0</v>
      </c>
      <c r="F7" s="14">
        <f>COUNTIFS(Trello_Data!$A:$B,"*Completed*",Trello_Data!$D:$E,"*Viswa*")</f>
        <v>0</v>
      </c>
      <c r="G7" s="15">
        <f>COUNTIFS(Trello_Data!$A:$B,"*Review*",Trello_Data!$D:$E,"*Viswa*")</f>
        <v>0</v>
      </c>
      <c r="H7" s="16">
        <f>COUNTIFS(Trello_Data!$A:$B,"*done*",Trello_Data!$D:$E,"*Viswa*")</f>
        <v>0</v>
      </c>
    </row>
  </sheetData>
  <mergeCells count="1">
    <mergeCell ref="A1:B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18B6B2-895B-4ADB-8B7C-0B409A3F50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Trello_Data</vt:lpstr>
      <vt:lpstr>Analiytics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Byron de Villiers</dc:creator>
  <cp:lastModifiedBy>Byron de Villiers</cp:lastModifiedBy>
  <dcterms:created xsi:type="dcterms:W3CDTF">2020-03-19T11:16:58Z</dcterms:created>
  <dcterms:modified xsi:type="dcterms:W3CDTF">2020-03-27T10:32:56Z</dcterms:modified>
</cp:coreProperties>
</file>